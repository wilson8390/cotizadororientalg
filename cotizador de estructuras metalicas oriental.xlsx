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oquendosa3/Documents/Wilson/"/>
    </mc:Choice>
  </mc:AlternateContent>
  <xr:revisionPtr revIDLastSave="0" documentId="13_ncr:1_{716B2345-107D-A74C-ADEA-6D596B9B89A0}" xr6:coauthVersionLast="47" xr6:coauthVersionMax="47" xr10:uidLastSave="{00000000-0000-0000-0000-000000000000}"/>
  <bookViews>
    <workbookView xWindow="1840" yWindow="500" windowWidth="31040" windowHeight="20500" xr2:uid="{00000000-000D-0000-FFFF-FFFF00000000}"/>
  </bookViews>
  <sheets>
    <sheet name="PERGOLA" sheetId="14" r:id="rId1"/>
    <sheet name="conteo" sheetId="13" r:id="rId2"/>
    <sheet name="Materiales" sheetId="15" r:id="rId3"/>
  </sheets>
  <definedNames>
    <definedName name="_xlnm.Print_Area" localSheetId="2">Materiales!$A$1:$G$90</definedName>
    <definedName name="_xlnm.Print_Area" localSheetId="0">PERGOLA!$A$1:$G$53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zBfY+/TjH1uQYsp4S0QOKO1Wotw=="/>
    </ext>
  </extLst>
</workbook>
</file>

<file path=xl/calcChain.xml><?xml version="1.0" encoding="utf-8"?>
<calcChain xmlns="http://schemas.openxmlformats.org/spreadsheetml/2006/main">
  <c r="B38" i="14" l="1"/>
  <c r="A42" i="14"/>
  <c r="B35" i="14" a="1"/>
  <c r="E30" i="14"/>
  <c r="E18" i="14"/>
  <c r="E16" i="14"/>
  <c r="D11" i="13" a="1"/>
  <c r="E15" i="14"/>
  <c r="E17" i="14"/>
  <c r="C51" i="13" a="1"/>
  <c r="B51" i="13" a="1"/>
  <c r="D51" i="13" s="1"/>
  <c r="E51" i="13" s="1"/>
  <c r="E50" i="13"/>
  <c r="C49" i="13"/>
  <c r="D49" i="13" s="1"/>
  <c r="E49" i="13" s="1"/>
  <c r="B49" i="13"/>
  <c r="C48" i="13"/>
  <c r="B48" i="13"/>
  <c r="D48" i="13" s="1"/>
  <c r="E48" i="13" s="1"/>
  <c r="C47" i="13"/>
  <c r="B47" i="13" a="1"/>
  <c r="C45" i="13" a="1"/>
  <c r="B45" i="13" a="1"/>
  <c r="E44" i="13"/>
  <c r="C46" i="13" s="1"/>
  <c r="C43" i="13"/>
  <c r="B43" i="13"/>
  <c r="D43" i="13" s="1"/>
  <c r="E43" i="13" s="1"/>
  <c r="C42" i="13" a="1"/>
  <c r="B42" i="13" a="1"/>
  <c r="C41" i="13" a="1"/>
  <c r="B41" i="13"/>
  <c r="E41" i="13" s="1"/>
  <c r="C40" i="13"/>
  <c r="B40" i="13" a="1"/>
  <c r="D40" i="13" s="1"/>
  <c r="E40" i="13" s="1"/>
  <c r="C39" i="13" a="1"/>
  <c r="D39" i="13" s="1"/>
  <c r="E39" i="13" s="1"/>
  <c r="B39" i="13"/>
  <c r="A3" i="13"/>
  <c r="D16" i="13" s="1" a="1"/>
  <c r="D43" i="14" s="1"/>
  <c r="B15" i="13"/>
  <c r="C14" i="13" a="1"/>
  <c r="B14" i="13"/>
  <c r="C13" i="13"/>
  <c r="B13" i="13" a="1"/>
  <c r="C12" i="13" a="1"/>
  <c r="B12" i="13" a="1"/>
  <c r="C11" i="13" a="1"/>
  <c r="B11" i="13" a="1"/>
  <c r="C10" i="13"/>
  <c r="C9" i="13" a="1"/>
  <c r="B9" i="13" a="1"/>
  <c r="C8" i="13" a="1"/>
  <c r="C6" i="13" a="1"/>
  <c r="B8" i="13"/>
  <c r="C7" i="13"/>
  <c r="B6" i="13"/>
  <c r="C32" i="13" a="1"/>
  <c r="B32" i="13" a="1"/>
  <c r="E31" i="13"/>
  <c r="C30" i="13"/>
  <c r="B30" i="13"/>
  <c r="C29" i="13"/>
  <c r="B29" i="13"/>
  <c r="C28" i="13"/>
  <c r="B28" i="13" a="1"/>
  <c r="C26" i="13" a="1"/>
  <c r="B26" i="13" a="1"/>
  <c r="E25" i="13"/>
  <c r="C27" i="13" s="1"/>
  <c r="C24" i="13"/>
  <c r="B24" i="13"/>
  <c r="C23" i="13" a="1"/>
  <c r="B23" i="13" a="1"/>
  <c r="C22" i="13" a="1"/>
  <c r="B22" i="13"/>
  <c r="C21" i="13"/>
  <c r="B21" i="13" a="1"/>
  <c r="C20" i="13" a="1"/>
  <c r="B20" i="13"/>
  <c r="B66" i="15"/>
  <c r="K39" i="14" l="1" a="1"/>
  <c r="J39" i="14" a="1"/>
  <c r="D45" i="13"/>
  <c r="D42" i="13"/>
  <c r="E42" i="13" s="1"/>
  <c r="E11" i="13"/>
  <c r="B14" i="14" s="1"/>
  <c r="D47" i="13"/>
  <c r="E47" i="13" s="1"/>
  <c r="D13" i="13"/>
  <c r="E13" i="13" s="1"/>
  <c r="D12" i="13"/>
  <c r="E12" i="13" s="1"/>
  <c r="B17" i="14" s="1"/>
  <c r="D21" i="13"/>
  <c r="E21" i="13" s="1"/>
  <c r="D29" i="13"/>
  <c r="E29" i="13" s="1"/>
  <c r="D30" i="13"/>
  <c r="E30" i="13" s="1"/>
  <c r="E8" i="13"/>
  <c r="B18" i="14" s="1"/>
  <c r="E9" i="13"/>
  <c r="D20" i="13"/>
  <c r="E20" i="13" s="1"/>
  <c r="D32" i="13"/>
  <c r="E32" i="13" s="1"/>
  <c r="E22" i="13"/>
  <c r="D6" i="13"/>
  <c r="E6" i="13" s="1"/>
  <c r="B16" i="14" s="1"/>
  <c r="D26" i="13"/>
  <c r="D23" i="13"/>
  <c r="E23" i="13" s="1"/>
  <c r="D28" i="13"/>
  <c r="E28" i="13" s="1"/>
  <c r="D24" i="13"/>
  <c r="E24" i="13" s="1"/>
  <c r="B64" i="15" a="1"/>
  <c r="B58" i="15"/>
  <c r="B56" i="15"/>
  <c r="A3" i="15"/>
  <c r="B89" i="15"/>
  <c r="B87" i="15"/>
  <c r="E79" i="15"/>
  <c r="B65" i="15"/>
  <c r="B16" i="13" l="1"/>
  <c r="C16" i="13"/>
  <c r="B46" i="13"/>
  <c r="D46" i="13" s="1"/>
  <c r="E46" i="13" s="1"/>
  <c r="E45" i="13"/>
  <c r="B27" i="13"/>
  <c r="D27" i="13" s="1"/>
  <c r="E27" i="13" s="1"/>
  <c r="E26" i="13"/>
  <c r="A4" i="15"/>
  <c r="A5" i="15" s="1"/>
  <c r="A6" i="15" s="1"/>
  <c r="A7" i="15" s="1"/>
  <c r="A8" i="15" s="1"/>
  <c r="A9" i="15" s="1"/>
  <c r="A10" i="15" s="1"/>
  <c r="A11" i="15" s="1"/>
  <c r="A12" i="15" s="1"/>
  <c r="B81" i="15"/>
  <c r="F32" i="14"/>
  <c r="B10" i="13"/>
  <c r="D10" i="13" s="1"/>
  <c r="B7" i="13" a="1"/>
  <c r="B53" i="15"/>
  <c r="E31" i="14"/>
  <c r="C15" i="13"/>
  <c r="D15" i="13" s="1"/>
  <c r="E15" i="13" s="1"/>
  <c r="B24" i="14"/>
  <c r="F24" i="14" s="1"/>
  <c r="F37" i="14"/>
  <c r="F27" i="14"/>
  <c r="F26" i="14"/>
  <c r="A14" i="14"/>
  <c r="F6" i="14"/>
  <c r="E16" i="13" l="1"/>
  <c r="A13" i="15"/>
  <c r="A14" i="15"/>
  <c r="A15" i="15" s="1"/>
  <c r="A16" i="15" s="1"/>
  <c r="A18" i="15" s="1"/>
  <c r="A15" i="14"/>
  <c r="A16" i="14" s="1"/>
  <c r="A17" i="14" s="1"/>
  <c r="A18" i="14" s="1"/>
  <c r="A19" i="14" s="1"/>
  <c r="A20" i="14" s="1"/>
  <c r="A21" i="14" s="1"/>
  <c r="N39" i="14" a="1"/>
  <c r="M39" i="14" a="1"/>
  <c r="L39" i="14" a="1"/>
  <c r="F35" i="14"/>
  <c r="B61" i="15" a="1"/>
  <c r="B90" i="15" a="1"/>
  <c r="B74" i="15"/>
  <c r="B10" i="15"/>
  <c r="B80" i="15"/>
  <c r="F38" i="14"/>
  <c r="B77" i="15"/>
  <c r="B22" i="14" a="1"/>
  <c r="F22" i="14" s="1"/>
  <c r="D14" i="13"/>
  <c r="E14" i="13" s="1"/>
  <c r="B21" i="14" a="1"/>
  <c r="F21" i="14" s="1"/>
  <c r="D7" i="13"/>
  <c r="B54" i="15" l="1"/>
  <c r="B57" i="15" s="1"/>
  <c r="E11" i="14"/>
  <c r="F11" i="14" s="1"/>
  <c r="A17" i="15"/>
  <c r="A19" i="15" s="1"/>
  <c r="A20" i="15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B36" i="14"/>
  <c r="F36" i="14" s="1"/>
  <c r="B31" i="14"/>
  <c r="F31" i="14" s="1"/>
  <c r="B78" i="15"/>
  <c r="B79" i="15"/>
  <c r="F18" i="14"/>
  <c r="B9" i="15"/>
  <c r="B50" i="15"/>
  <c r="B12" i="15"/>
  <c r="B30" i="14"/>
  <c r="F30" i="14" s="1"/>
  <c r="B75" i="15"/>
  <c r="E7" i="13"/>
  <c r="B15" i="14" s="1"/>
  <c r="F16" i="14"/>
  <c r="E10" i="13"/>
  <c r="B29" i="14"/>
  <c r="F17" i="14"/>
  <c r="B76" i="15" l="1"/>
  <c r="B13" i="15"/>
  <c r="A51" i="15"/>
  <c r="A52" i="15" s="1"/>
  <c r="A53" i="15" s="1"/>
  <c r="A54" i="15"/>
  <c r="A55" i="15"/>
  <c r="B19" i="14"/>
  <c r="F19" i="14" s="1"/>
  <c r="B33" i="14"/>
  <c r="F33" i="14" s="1"/>
  <c r="B73" i="15"/>
  <c r="B11" i="15"/>
  <c r="B72" i="15"/>
  <c r="B20" i="14"/>
  <c r="F20" i="14" s="1"/>
  <c r="B60" i="15"/>
  <c r="B59" i="15"/>
  <c r="F14" i="14"/>
  <c r="B6" i="15"/>
  <c r="B4" i="15"/>
  <c r="B3" i="15"/>
  <c r="F15" i="14"/>
  <c r="B8" i="15"/>
  <c r="A56" i="15" l="1"/>
  <c r="A57" i="15" s="1"/>
  <c r="A58" i="15" s="1"/>
  <c r="A59" i="15"/>
  <c r="A60" i="15" s="1"/>
  <c r="A61" i="15" s="1"/>
  <c r="A62" i="15" s="1"/>
  <c r="A64" i="15" s="1"/>
  <c r="A65" i="15" s="1"/>
  <c r="A66" i="15" s="1"/>
  <c r="A67" i="15" s="1"/>
  <c r="A68" i="15" s="1"/>
  <c r="A69" i="15" s="1"/>
  <c r="F29" i="14"/>
  <c r="B82" i="15"/>
  <c r="A22" i="14"/>
  <c r="A24" i="14" s="1"/>
  <c r="F39" i="14" l="1"/>
  <c r="F41" i="14" s="1"/>
  <c r="A26" i="14"/>
  <c r="A29" i="14" s="1"/>
  <c r="A30" i="14" s="1"/>
  <c r="A31" i="14" s="1"/>
  <c r="A32" i="14" s="1"/>
  <c r="A25" i="14"/>
  <c r="A70" i="15"/>
  <c r="J40" i="14" l="1"/>
  <c r="F40" i="14"/>
  <c r="A33" i="14"/>
  <c r="A35" i="14" s="1"/>
  <c r="A36" i="14" s="1"/>
  <c r="A37" i="14" s="1"/>
  <c r="A38" i="14" s="1"/>
  <c r="A27" i="14"/>
  <c r="A73" i="15"/>
  <c r="A72" i="15"/>
  <c r="A74" i="15" s="1"/>
  <c r="A75" i="15" s="1"/>
  <c r="A76" i="15" s="1"/>
  <c r="A77" i="15" s="1"/>
  <c r="A79" i="15" s="1"/>
  <c r="A80" i="15" s="1"/>
  <c r="A82" i="15" s="1"/>
  <c r="A84" i="15" s="1"/>
  <c r="A78" i="15" l="1"/>
  <c r="A85" i="15"/>
  <c r="A86" i="15" s="1"/>
  <c r="A87" i="15" s="1"/>
  <c r="A88" i="15" s="1"/>
  <c r="A89" i="15" s="1"/>
  <c r="A90" i="15" s="1"/>
  <c r="A81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<sst xmlns="http://schemas.openxmlformats.org/spreadsheetml/2006/main" count="328" uniqueCount="173">
  <si>
    <t>PRO-FORMA</t>
  </si>
  <si>
    <t>FECHA:</t>
  </si>
  <si>
    <t>Señores:</t>
  </si>
  <si>
    <t>Nro.:</t>
  </si>
  <si>
    <t>Ciudad:</t>
  </si>
  <si>
    <t>ITEM</t>
  </si>
  <si>
    <t>CANT.</t>
  </si>
  <si>
    <t>UNIDAD</t>
  </si>
  <si>
    <t>DETALLE DEL PROCESO</t>
  </si>
  <si>
    <t>PRECIO UNITARIO</t>
  </si>
  <si>
    <t>TOTAL</t>
  </si>
  <si>
    <t>und</t>
  </si>
  <si>
    <t>Materiales a Emplear para el Proceso</t>
  </si>
  <si>
    <t>m</t>
  </si>
  <si>
    <t>Costo en Bolivianos</t>
  </si>
  <si>
    <t>Bs</t>
  </si>
  <si>
    <t>Costo en Dólares</t>
  </si>
  <si>
    <t>$us</t>
  </si>
  <si>
    <t>Datos Proveedor:</t>
  </si>
  <si>
    <t>Nombre:</t>
  </si>
  <si>
    <t>Nit:</t>
  </si>
  <si>
    <t>E-mail:</t>
  </si>
  <si>
    <t>Celular:</t>
  </si>
  <si>
    <t>……………………………………….</t>
  </si>
  <si>
    <r>
      <rPr>
        <sz val="10"/>
        <color theme="1"/>
        <rFont val="Arial"/>
        <family val="2"/>
      </rPr>
      <t xml:space="preserve">              </t>
    </r>
    <r>
      <rPr>
        <b/>
        <sz val="10"/>
        <color theme="1"/>
        <rFont val="Arial"/>
        <family val="2"/>
      </rPr>
      <t>Firma Cliente</t>
    </r>
  </si>
  <si>
    <t>Firma</t>
  </si>
  <si>
    <t>SANTA CRUZ DE LA SIERRA</t>
  </si>
  <si>
    <t xml:space="preserve">Instalación y montaje de Pérgola </t>
  </si>
  <si>
    <r>
      <t xml:space="preserve">TIEMPO DE VALIDEZ DE LA OFERTA: </t>
    </r>
    <r>
      <rPr>
        <b/>
        <sz val="10"/>
        <color rgb="FFFF0000"/>
        <rFont val="Arial"/>
        <family val="2"/>
      </rPr>
      <t>5 DIAS</t>
    </r>
  </si>
  <si>
    <t>Tornillos autoperforantes de 2"</t>
  </si>
  <si>
    <t>Cubierta</t>
  </si>
  <si>
    <t>Canaletas</t>
  </si>
  <si>
    <t>Cielo falso PVC</t>
  </si>
  <si>
    <t>Iluminación</t>
  </si>
  <si>
    <t xml:space="preserve">ARMADO Y MONTAJE
-Trazado y corte de los perfiles  y tubo cuadrado segun disposicion en planos.
-Fabricacion de la cubierta interna de la pergola con perfil  y soldadura GMAW.
-Fabricacion de la viga metalica con tubo cuadrado de acero al carbon y soldadura GMAW.
-Preparacion de los fijadores y anclajes.
-Pintado de las serchas, correas y la viga metalica.
-Fabricación de todas las piezas para las canaletas de desagüe. 
-Montaje de la viga metalica in situ con pernos de expansion.
-Montaje de la estructura de cubierta in situ, fijacion a los muros con pernos de expansion. 
-Armado de las piezas y montaje de las canaletas de desagüe.
-Montaje de las calaminas a la estructura de cubierta con tornillos autoperforantes.
-Montaje del parapeto con plancha de acero al carbon de 1mm de espesor y tubo rectangular 30x40mm.
-Pintado de todo el parapeto.
-Instalarción de los paneles PVC con los elementos empotrantes en la estructura de cubierta y en los muros.
-Instalacion de circuito electrico de iluminacion y montaje de luminarias.
</t>
  </si>
  <si>
    <t>Tubo cuadrado de acero al carbon 20x20x0.8 mm L=6 m</t>
  </si>
  <si>
    <t>Insumos de soldadura GMAW (Electrodos E7018, E6016), pintura, discos de desbaste y corte, cinta aislante, pernos, gasolina, tiner, etc.) transporte</t>
  </si>
  <si>
    <t>A QUIEN CORRESPONDA</t>
  </si>
  <si>
    <t>Codo 90 grados bajante pvc 3''</t>
  </si>
  <si>
    <t>Ducto bajante alternativo pvc 3'' L=4m</t>
  </si>
  <si>
    <t>Tornillo broca  T2 bolsa</t>
  </si>
  <si>
    <t>Canaleta de desagüe corte 50</t>
  </si>
  <si>
    <t xml:space="preserve">Corniza U L=6m </t>
  </si>
  <si>
    <t>Cajas octogonales y rectangulares, cinta aislante, alambre, etc</t>
  </si>
  <si>
    <t>tablas de cielo falso PVC marron oscuro 25cmx8mmx5.95m</t>
  </si>
  <si>
    <t>Aislante termico doble cara aluminizada de 10 mm</t>
  </si>
  <si>
    <t>Driver de cinta LED</t>
  </si>
  <si>
    <t>Chapa de calamina trapezoidal pintada 6x0.9m e=0.40mm</t>
  </si>
  <si>
    <t>m2</t>
  </si>
  <si>
    <t>Bs.</t>
  </si>
  <si>
    <t>Perfil C de acero al carbon 100x50x2 mm L=6 m</t>
  </si>
  <si>
    <t>Tubo cuadrado de acero al carbon 100x100mm e=2mm L=6 m</t>
  </si>
  <si>
    <t>Tubo rectangular de acero al carbon 20x50mm e=0.8mm L=6 m</t>
  </si>
  <si>
    <t xml:space="preserve">Union H L=6m </t>
  </si>
  <si>
    <t>Largo</t>
  </si>
  <si>
    <t>Ancho</t>
  </si>
  <si>
    <t>Perfil C 100x50</t>
  </si>
  <si>
    <t>Material</t>
  </si>
  <si>
    <t>Cantidad</t>
  </si>
  <si>
    <t>ojo largo paralelo a canaleta</t>
  </si>
  <si>
    <t>Largo m</t>
  </si>
  <si>
    <t>Ancho m</t>
  </si>
  <si>
    <t>Perfil C 50x25</t>
  </si>
  <si>
    <t>Calamina</t>
  </si>
  <si>
    <t>Cantidad material</t>
  </si>
  <si>
    <t>PVC</t>
  </si>
  <si>
    <t>Parantes 15x15</t>
  </si>
  <si>
    <t>perfil U</t>
  </si>
  <si>
    <t xml:space="preserve">Plancha 1.2 m </t>
  </si>
  <si>
    <t>tubo 20x20</t>
  </si>
  <si>
    <t>aislante alum</t>
  </si>
  <si>
    <t>corniza U</t>
  </si>
  <si>
    <t>Medidas m2</t>
  </si>
  <si>
    <t xml:space="preserve">Cinta LED </t>
  </si>
  <si>
    <t>000</t>
  </si>
  <si>
    <t>Luis</t>
  </si>
  <si>
    <t>Materiales</t>
  </si>
  <si>
    <t>Luminarias de empotar LED 18w</t>
  </si>
  <si>
    <t>Cable Nro.14 AWG</t>
  </si>
  <si>
    <t>Interruptor doble o simple</t>
  </si>
  <si>
    <t>Tubo de PVC conduit 3/4''  L=3m</t>
  </si>
  <si>
    <t>membrana asfaltica</t>
  </si>
  <si>
    <t>membrana asfaltica 20 cm x 10 m</t>
  </si>
  <si>
    <t>Recuplast 3.6 Ltrs + membrana tela</t>
  </si>
  <si>
    <t>precio</t>
  </si>
  <si>
    <t>Tubo rectangular de acero al carbon 50x50mm e=2mm L=6 m</t>
  </si>
  <si>
    <t xml:space="preserve">Plegado perfil U 5x25x5 cm e=2mm </t>
  </si>
  <si>
    <t>Parantes 20x20</t>
  </si>
  <si>
    <t>Plegado de tubos 15x15 cm union en cara e=2mm  L=3m</t>
  </si>
  <si>
    <t>Plegado de tubos 20x20 cm union en cara e=2mm  L=3m</t>
  </si>
  <si>
    <t>Policarbonato alveolar de e=10 mm 2.1x5.8m</t>
  </si>
  <si>
    <t>Policarbonato2.1x5.8</t>
  </si>
  <si>
    <t>Tubo cuadrado de acero al carbon 100x100mm e=3mm L=6 m</t>
  </si>
  <si>
    <t>Tubo rectangular de acero al carbon 40x80mm e=3mm L=6 m</t>
  </si>
  <si>
    <t>Tubo rectangular de acero al carbon 40x40mm e=2mm L=6 m</t>
  </si>
  <si>
    <t>Tubo rectangular de acero al carbon 40x80mm e=2mm L=6 m</t>
  </si>
  <si>
    <t>Tubo rectangular de acero al carbon 100x50mm e=2mm L=6 m</t>
  </si>
  <si>
    <t>Tubo rectangular de acero al carbon 40x80mm e=1.2mm L=6 m</t>
  </si>
  <si>
    <t>Tubo rectangular de acero al carbon 40x80mm e=1.5mm L=6 m</t>
  </si>
  <si>
    <t>Tubo rectangular de acero al carbon 20x50mm e=1.2mm L=6 m</t>
  </si>
  <si>
    <t>Tubo rectangular de acero al carbon 20x50mm e=1.5mm L=6 m</t>
  </si>
  <si>
    <t>Tubo rectangular de acero al carbon 20x50mm e=2mm L=6 m</t>
  </si>
  <si>
    <t>Tubo cuadrado de acero al carbon 20x20x1.2 mm L=6 m</t>
  </si>
  <si>
    <t>Tubo cuadrado de acero al carbon 20x20x1.5 mm L=6 m</t>
  </si>
  <si>
    <t>Tubo cuadrado de acero al carbon 20x20x2 mm L=6 m</t>
  </si>
  <si>
    <t>Tubo redondo de acero al carbon D=16mm 5/8''  e=1.5mm L=6 m</t>
  </si>
  <si>
    <t>Hierro liso 1/2''</t>
  </si>
  <si>
    <t>Tubo redondo de acero al carbon D=38mm  e=1.2mm L=6 m</t>
  </si>
  <si>
    <t>Tubo redondo de acero al carbon D=38mm  e=1.5mm L=6 m</t>
  </si>
  <si>
    <t>Tubo redondo de acero al carbon D=38mm  e=0.9mm L=6 m</t>
  </si>
  <si>
    <t>Tubo redondo de acero al carbon D=38mm  e=2mm L=6 m</t>
  </si>
  <si>
    <t>Tubo redondo de acero al carbon D=63mm  e=1.2mm L=6 m</t>
  </si>
  <si>
    <t>Tubo redondo de acero al carbon D=63mm  e=1.5mm L=6 m</t>
  </si>
  <si>
    <t>Tubo redondo de acero al carbon D=63mm  e=2mm L=6 m</t>
  </si>
  <si>
    <t>Tubo rectangular de acero al carbon 30x70mm e=1.2mm L=6 m</t>
  </si>
  <si>
    <t>Tubo cuadrado de acero al carbon 15x15x0.8 mm L=6 m</t>
  </si>
  <si>
    <t>platino 2'' x 1/8''</t>
  </si>
  <si>
    <t xml:space="preserve">Hierro corrugado 5/16'' </t>
  </si>
  <si>
    <t>Tubo rectangular de acero al carbon 30x70mm e=1.6mm L=6 m</t>
  </si>
  <si>
    <t>Tubo rectangular de acero al carbon 30x70mm e=2mm L=6 m</t>
  </si>
  <si>
    <t>Tubo rectangular de acero al carbon 100x50mm e=1.6mm L=6 m</t>
  </si>
  <si>
    <t>Tubo rectangular de acero al carbon 30x50mm e=2mm L=6 m</t>
  </si>
  <si>
    <t>Tubo cuadrado de acero al carbon 100x100mm e=1.6mm L=6 m</t>
  </si>
  <si>
    <t>Plancha negra 1,2x3m de e=2 mm</t>
  </si>
  <si>
    <t>Plancha negra 1x2m de e=3 mm</t>
  </si>
  <si>
    <t>Plancha negra 1.5x3m de e=1.5 mm</t>
  </si>
  <si>
    <t>Plancha negra 1.5x3m de e=1 mm</t>
  </si>
  <si>
    <t>Perfil C Galvanizado 25x50x1.5 mm L=6 m</t>
  </si>
  <si>
    <t>Perfil C de acero al carbon 25x50x1.8 mm L=6 m</t>
  </si>
  <si>
    <t>Perfil C de acero al carbon 25x50x2 mm L=6 m</t>
  </si>
  <si>
    <t>Perfil C galvanizado 100x50x1.8 mm L=6 m</t>
  </si>
  <si>
    <t>Policarbonato solido de e=6 mm 1.22x2.44m</t>
  </si>
  <si>
    <t>Policarbonato solido de e=6 mm 2.1x5.8m</t>
  </si>
  <si>
    <t>Policarbonato solido de e=10 mm 1.22x2.44m</t>
  </si>
  <si>
    <t>Policarbonato solido de e=8 mm 1.22x2.44m</t>
  </si>
  <si>
    <t>Cable Nro.14 AWG 1.5mm</t>
  </si>
  <si>
    <t>Ducto bajante alternativo PVC 3'' L=4m</t>
  </si>
  <si>
    <t>Plancha de acero galvanizado 0,35mm 1x2</t>
  </si>
  <si>
    <t>Aluminio en barra  fundente</t>
  </si>
  <si>
    <t>membrana tela</t>
  </si>
  <si>
    <t>Recuplast 3.6 Ltrs</t>
  </si>
  <si>
    <t>Canaleta de desagüe corte 50 20x16x10 cm e=0.43mm #26</t>
  </si>
  <si>
    <t>Ducto bajante corte 40 13x7 cm e=0.40mm #28</t>
  </si>
  <si>
    <t>COMPARATIVO</t>
  </si>
  <si>
    <t>CUADRO</t>
  </si>
  <si>
    <t>Plancha negra antideslizante 1.2x3m de e=3 mm</t>
  </si>
  <si>
    <t>Plancha negra antideslizante 1.2x3m de e=2 mm</t>
  </si>
  <si>
    <t>Lamina trapezoidal plastica 2.4m efectivo=0.8m</t>
  </si>
  <si>
    <t>Lamina trapezoidal plastica 3m efectivo=0.8m</t>
  </si>
  <si>
    <t>Lamina trapezoidal plastica 6m efectivo=0.8m</t>
  </si>
  <si>
    <t>Canaleta  cubre bordes</t>
  </si>
  <si>
    <t>Actualizado13/9/26</t>
  </si>
  <si>
    <t>Perfil C Galvanizado 25x50x1.8 mm L=6 m</t>
  </si>
  <si>
    <t>Perfil C Galvanizado 40x80x1.8 mm L=6 m</t>
  </si>
  <si>
    <t xml:space="preserve">Plegado perfil U 5x30x5 cm e=2mm </t>
  </si>
  <si>
    <t>Viga frontal</t>
  </si>
  <si>
    <t>Viga trasera</t>
  </si>
  <si>
    <t>Viga par cuerda sup.</t>
  </si>
  <si>
    <t>Correa</t>
  </si>
  <si>
    <t>Cubierta o cerramiento</t>
  </si>
  <si>
    <t>Cielo falso Pvc</t>
  </si>
  <si>
    <t>Parantes</t>
  </si>
  <si>
    <t>Cenefa Viga U 
Alero correa tirante</t>
  </si>
  <si>
    <t>soporte de cielo falso 
tubo 20x20</t>
  </si>
  <si>
    <t>alto</t>
  </si>
  <si>
    <t>Empotramiento</t>
  </si>
  <si>
    <t>muro</t>
  </si>
  <si>
    <t>M.O. 2=maestro; 1=ayudante</t>
  </si>
  <si>
    <t>PERGOLA</t>
  </si>
  <si>
    <t>CUBIERTA</t>
  </si>
  <si>
    <t>PERGOLA/POLICARBONATO</t>
  </si>
  <si>
    <t>Costo de venta</t>
  </si>
  <si>
    <t>Tiempo de fabricación y montaje: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</si>
</sst>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\ _€_-;\-* #,##0.0\ _€_-;_-* &quot;-&quot;??\ _€_-;_-@"/>
    <numFmt numFmtId="165" formatCode="_-* #,##0\ _€_-;\-* #,##0\ _€_-;_-* &quot;-&quot;??\ _€_-;_-@"/>
    <numFmt numFmtId="166" formatCode="0.0"/>
  </numFmts>
  <fonts count="3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rgb="FF0000FF"/>
      <name val="Corben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22"/>
      <color theme="1"/>
      <name val="Times New Roman"/>
      <family val="1"/>
    </font>
    <font>
      <b/>
      <u/>
      <sz val="12"/>
      <color theme="1"/>
      <name val="Bell MT"/>
      <family val="1"/>
    </font>
    <font>
      <b/>
      <u/>
      <sz val="12"/>
      <color theme="1"/>
      <name val="Teko"/>
    </font>
    <font>
      <b/>
      <sz val="26"/>
      <color theme="1"/>
      <name val="Arial Narrow"/>
      <family val="2"/>
    </font>
    <font>
      <b/>
      <i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Arial"/>
      <family val="2"/>
    </font>
    <font>
      <b/>
      <u/>
      <sz val="9"/>
      <color theme="1"/>
      <name val="Arial"/>
      <family val="2"/>
    </font>
    <font>
      <sz val="5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</font>
    <font>
      <b/>
      <sz val="7"/>
      <color rgb="FFFF0000"/>
      <name val="Arial"/>
      <family val="2"/>
    </font>
    <font>
      <u/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164" fontId="4" fillId="2" borderId="1" xfId="0" applyNumberFormat="1" applyFont="1" applyFill="1" applyBorder="1"/>
    <xf numFmtId="0" fontId="5" fillId="2" borderId="1" xfId="0" applyFont="1" applyFill="1" applyBorder="1"/>
    <xf numFmtId="0" fontId="1" fillId="2" borderId="5" xfId="0" applyFont="1" applyFill="1" applyBorder="1"/>
    <xf numFmtId="164" fontId="1" fillId="2" borderId="1" xfId="0" applyNumberFormat="1" applyFont="1" applyFill="1" applyBorder="1"/>
    <xf numFmtId="14" fontId="6" fillId="2" borderId="1" xfId="0" applyNumberFormat="1" applyFont="1" applyFill="1" applyBorder="1"/>
    <xf numFmtId="0" fontId="7" fillId="2" borderId="6" xfId="0" applyFont="1" applyFill="1" applyBorder="1"/>
    <xf numFmtId="164" fontId="8" fillId="2" borderId="6" xfId="0" applyNumberFormat="1" applyFont="1" applyFill="1" applyBorder="1"/>
    <xf numFmtId="14" fontId="9" fillId="2" borderId="6" xfId="0" applyNumberFormat="1" applyFont="1" applyFill="1" applyBorder="1" applyAlignment="1">
      <alignment horizontal="center"/>
    </xf>
    <xf numFmtId="0" fontId="10" fillId="2" borderId="5" xfId="0" applyFont="1" applyFill="1" applyBorder="1"/>
    <xf numFmtId="164" fontId="14" fillId="2" borderId="6" xfId="0" applyNumberFormat="1" applyFont="1" applyFill="1" applyBorder="1" applyAlignment="1">
      <alignment vertical="center"/>
    </xf>
    <xf numFmtId="49" fontId="15" fillId="2" borderId="6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/>
    <xf numFmtId="0" fontId="13" fillId="2" borderId="11" xfId="0" applyFont="1" applyFill="1" applyBorder="1" applyAlignment="1">
      <alignment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164" fontId="16" fillId="3" borderId="12" xfId="0" applyNumberFormat="1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 wrapText="1"/>
    </xf>
    <xf numFmtId="0" fontId="19" fillId="2" borderId="15" xfId="0" applyFont="1" applyFill="1" applyBorder="1" applyAlignment="1">
      <alignment horizontal="center" vertical="center" wrapText="1"/>
    </xf>
    <xf numFmtId="164" fontId="1" fillId="2" borderId="15" xfId="0" applyNumberFormat="1" applyFont="1" applyFill="1" applyBorder="1" applyAlignment="1">
      <alignment vertical="center"/>
    </xf>
    <xf numFmtId="165" fontId="1" fillId="2" borderId="16" xfId="0" applyNumberFormat="1" applyFont="1" applyFill="1" applyBorder="1" applyAlignment="1">
      <alignment vertical="center"/>
    </xf>
    <xf numFmtId="0" fontId="18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left" vertical="top" wrapText="1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6" fontId="1" fillId="2" borderId="24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vertical="top" wrapText="1"/>
    </xf>
    <xf numFmtId="165" fontId="1" fillId="2" borderId="26" xfId="0" applyNumberFormat="1" applyFont="1" applyFill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right"/>
    </xf>
    <xf numFmtId="0" fontId="1" fillId="2" borderId="28" xfId="0" applyFont="1" applyFill="1" applyBorder="1"/>
    <xf numFmtId="164" fontId="18" fillId="2" borderId="12" xfId="0" applyNumberFormat="1" applyFont="1" applyFill="1" applyBorder="1" applyAlignment="1">
      <alignment horizontal="center" vertical="center"/>
    </xf>
    <xf numFmtId="164" fontId="24" fillId="2" borderId="12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0" fontId="1" fillId="3" borderId="39" xfId="0" applyFont="1" applyFill="1" applyBorder="1"/>
    <xf numFmtId="164" fontId="1" fillId="3" borderId="39" xfId="0" applyNumberFormat="1" applyFont="1" applyFill="1" applyBorder="1"/>
    <xf numFmtId="0" fontId="1" fillId="3" borderId="3" xfId="0" applyFont="1" applyFill="1" applyBorder="1"/>
    <xf numFmtId="0" fontId="1" fillId="3" borderId="6" xfId="0" applyFont="1" applyFill="1" applyBorder="1"/>
    <xf numFmtId="164" fontId="1" fillId="3" borderId="11" xfId="0" applyNumberFormat="1" applyFont="1" applyFill="1" applyBorder="1"/>
    <xf numFmtId="0" fontId="1" fillId="3" borderId="5" xfId="0" applyFont="1" applyFill="1" applyBorder="1"/>
    <xf numFmtId="0" fontId="1" fillId="3" borderId="6" xfId="0" applyFont="1" applyFill="1" applyBorder="1" applyAlignment="1">
      <alignment horizontal="left"/>
    </xf>
    <xf numFmtId="0" fontId="26" fillId="3" borderId="6" xfId="0" applyFont="1" applyFill="1" applyBorder="1"/>
    <xf numFmtId="164" fontId="1" fillId="3" borderId="6" xfId="0" applyNumberFormat="1" applyFont="1" applyFill="1" applyBorder="1"/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3" borderId="4" xfId="0" applyFont="1" applyFill="1" applyBorder="1"/>
    <xf numFmtId="0" fontId="1" fillId="3" borderId="44" xfId="0" applyFont="1" applyFill="1" applyBorder="1"/>
    <xf numFmtId="0" fontId="1" fillId="3" borderId="45" xfId="0" applyFont="1" applyFill="1" applyBorder="1"/>
    <xf numFmtId="164" fontId="1" fillId="3" borderId="45" xfId="0" applyNumberFormat="1" applyFont="1" applyFill="1" applyBorder="1"/>
    <xf numFmtId="0" fontId="1" fillId="3" borderId="46" xfId="0" applyFont="1" applyFill="1" applyBorder="1"/>
    <xf numFmtId="0" fontId="22" fillId="0" borderId="25" xfId="0" applyFont="1" applyBorder="1" applyAlignment="1">
      <alignment vertical="top" wrapText="1"/>
    </xf>
    <xf numFmtId="2" fontId="1" fillId="2" borderId="24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0" fillId="0" borderId="41" xfId="0" applyBorder="1"/>
    <xf numFmtId="165" fontId="0" fillId="0" borderId="41" xfId="0" applyNumberFormat="1" applyBorder="1"/>
    <xf numFmtId="0" fontId="28" fillId="0" borderId="0" xfId="0" applyFont="1"/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1" fillId="3" borderId="41" xfId="0" applyFont="1" applyFill="1" applyBorder="1"/>
    <xf numFmtId="0" fontId="0" fillId="0" borderId="48" xfId="0" applyBorder="1"/>
    <xf numFmtId="0" fontId="1" fillId="2" borderId="41" xfId="0" applyFont="1" applyFill="1" applyBorder="1"/>
    <xf numFmtId="164" fontId="1" fillId="2" borderId="41" xfId="0" applyNumberFormat="1" applyFont="1" applyFill="1" applyBorder="1"/>
    <xf numFmtId="0" fontId="0" fillId="0" borderId="49" xfId="0" applyBorder="1"/>
    <xf numFmtId="165" fontId="18" fillId="2" borderId="32" xfId="0" applyNumberFormat="1" applyFont="1" applyFill="1" applyBorder="1" applyAlignment="1">
      <alignment horizontal="center" vertical="center"/>
    </xf>
    <xf numFmtId="165" fontId="1" fillId="2" borderId="51" xfId="0" applyNumberFormat="1" applyFont="1" applyFill="1" applyBorder="1" applyAlignment="1">
      <alignment horizontal="center" vertical="center"/>
    </xf>
    <xf numFmtId="165" fontId="1" fillId="2" borderId="50" xfId="0" applyNumberFormat="1" applyFont="1" applyFill="1" applyBorder="1" applyAlignment="1">
      <alignment horizontal="center" vertical="center"/>
    </xf>
    <xf numFmtId="165" fontId="30" fillId="0" borderId="49" xfId="0" applyNumberFormat="1" applyFont="1" applyBorder="1"/>
    <xf numFmtId="0" fontId="28" fillId="0" borderId="49" xfId="0" applyFont="1" applyBorder="1"/>
    <xf numFmtId="0" fontId="28" fillId="4" borderId="0" xfId="0" applyFont="1" applyFill="1"/>
    <xf numFmtId="0" fontId="18" fillId="0" borderId="23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2" fontId="1" fillId="0" borderId="24" xfId="0" applyNumberFormat="1" applyFont="1" applyBorder="1" applyAlignment="1">
      <alignment horizontal="right"/>
    </xf>
    <xf numFmtId="165" fontId="1" fillId="0" borderId="26" xfId="0" applyNumberFormat="1" applyFont="1" applyBorder="1" applyAlignment="1">
      <alignment horizontal="center" vertical="center"/>
    </xf>
    <xf numFmtId="4" fontId="1" fillId="0" borderId="24" xfId="0" applyNumberFormat="1" applyFont="1" applyBorder="1" applyAlignment="1">
      <alignment horizontal="right"/>
    </xf>
    <xf numFmtId="2" fontId="1" fillId="0" borderId="24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51" xfId="0" applyNumberFormat="1" applyFont="1" applyBorder="1" applyAlignment="1">
      <alignment horizontal="center" vertical="center"/>
    </xf>
    <xf numFmtId="0" fontId="23" fillId="2" borderId="35" xfId="0" applyFont="1" applyFill="1" applyBorder="1" applyAlignment="1">
      <alignment horizontal="right" vertical="top" wrapText="1"/>
    </xf>
    <xf numFmtId="0" fontId="12" fillId="0" borderId="36" xfId="0" applyFont="1" applyBorder="1"/>
    <xf numFmtId="0" fontId="12" fillId="0" borderId="37" xfId="0" applyFont="1" applyBorder="1"/>
    <xf numFmtId="0" fontId="11" fillId="2" borderId="7" xfId="0" applyFont="1" applyFill="1" applyBorder="1" applyAlignment="1">
      <alignment horizontal="center" vertical="center"/>
    </xf>
    <xf numFmtId="0" fontId="12" fillId="0" borderId="8" xfId="0" applyFont="1" applyBorder="1"/>
    <xf numFmtId="0" fontId="13" fillId="2" borderId="9" xfId="0" applyFont="1" applyFill="1" applyBorder="1" applyAlignment="1">
      <alignment horizontal="left" vertical="center"/>
    </xf>
    <xf numFmtId="0" fontId="12" fillId="0" borderId="10" xfId="0" applyFont="1" applyBorder="1"/>
    <xf numFmtId="0" fontId="21" fillId="2" borderId="20" xfId="0" applyFont="1" applyFill="1" applyBorder="1" applyAlignment="1">
      <alignment horizontal="center" vertical="top" wrapText="1"/>
    </xf>
    <xf numFmtId="0" fontId="12" fillId="0" borderId="21" xfId="0" applyFont="1" applyBorder="1"/>
    <xf numFmtId="0" fontId="12" fillId="0" borderId="22" xfId="0" applyFont="1" applyBorder="1"/>
    <xf numFmtId="0" fontId="21" fillId="0" borderId="20" xfId="0" applyFont="1" applyBorder="1" applyAlignment="1">
      <alignment horizontal="center" vertical="top" wrapText="1"/>
    </xf>
    <xf numFmtId="0" fontId="23" fillId="2" borderId="29" xfId="0" applyFont="1" applyFill="1" applyBorder="1" applyAlignment="1">
      <alignment horizontal="right" vertical="top" wrapText="1"/>
    </xf>
    <xf numFmtId="0" fontId="12" fillId="0" borderId="30" xfId="0" applyFont="1" applyBorder="1"/>
    <xf numFmtId="0" fontId="12" fillId="0" borderId="31" xfId="0" applyFont="1" applyBorder="1"/>
    <xf numFmtId="0" fontId="23" fillId="2" borderId="33" xfId="0" applyFont="1" applyFill="1" applyBorder="1" applyAlignment="1">
      <alignment horizontal="right" vertical="top" wrapText="1"/>
    </xf>
    <xf numFmtId="0" fontId="12" fillId="0" borderId="34" xfId="0" applyFont="1" applyBorder="1"/>
    <xf numFmtId="0" fontId="12" fillId="0" borderId="28" xfId="0" applyFont="1" applyBorder="1"/>
    <xf numFmtId="0" fontId="18" fillId="2" borderId="47" xfId="0" applyFont="1" applyFill="1" applyBorder="1" applyAlignment="1">
      <alignment horizontal="center"/>
    </xf>
    <xf numFmtId="0" fontId="12" fillId="0" borderId="38" xfId="0" applyFont="1" applyBorder="1"/>
    <xf numFmtId="0" fontId="25" fillId="2" borderId="20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/>
    </xf>
    <xf numFmtId="0" fontId="1" fillId="3" borderId="33" xfId="0" applyFont="1" applyFill="1" applyBorder="1" applyAlignment="1">
      <alignment horizontal="left"/>
    </xf>
    <xf numFmtId="0" fontId="12" fillId="0" borderId="40" xfId="0" applyFont="1" applyBorder="1"/>
    <xf numFmtId="0" fontId="1" fillId="3" borderId="41" xfId="0" applyFont="1" applyFill="1" applyBorder="1" applyAlignment="1">
      <alignment horizontal="left"/>
    </xf>
    <xf numFmtId="0" fontId="18" fillId="3" borderId="42" xfId="0" applyFont="1" applyFill="1" applyBorder="1" applyAlignment="1">
      <alignment horizontal="center"/>
    </xf>
    <xf numFmtId="0" fontId="12" fillId="0" borderId="43" xfId="0" applyFont="1" applyBorder="1"/>
    <xf numFmtId="165" fontId="1" fillId="6" borderId="26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wrapText="1"/>
    </xf>
    <xf numFmtId="0" fontId="0" fillId="7" borderId="0" xfId="0" applyFill="1"/>
    <xf numFmtId="0" fontId="0" fillId="0" borderId="0" xfId="0" applyFill="1"/>
    <xf numFmtId="0" fontId="28" fillId="8" borderId="0" xfId="0" applyFont="1" applyFill="1"/>
    <xf numFmtId="0" fontId="28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2" fillId="9" borderId="25" xfId="0" applyFont="1" applyFill="1" applyBorder="1" applyAlignment="1">
      <alignment vertical="top" wrapText="1"/>
    </xf>
    <xf numFmtId="0" fontId="25" fillId="2" borderId="21" xfId="0" applyFont="1" applyFill="1" applyBorder="1" applyAlignment="1">
      <alignment horizontal="left" vertical="top" wrapText="1"/>
    </xf>
    <xf numFmtId="0" fontId="25" fillId="2" borderId="20" xfId="0" applyFont="1" applyFill="1" applyBorder="1" applyAlignment="1">
      <alignment horizontal="right" vertical="center" wrapText="1"/>
    </xf>
    <xf numFmtId="0" fontId="25" fillId="2" borderId="21" xfId="0" applyFont="1" applyFill="1" applyBorder="1" applyAlignment="1">
      <alignment horizontal="right" vertical="center" wrapText="1"/>
    </xf>
    <xf numFmtId="1" fontId="25" fillId="2" borderId="5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981075</xdr:colOff>
      <xdr:row>4</xdr:row>
      <xdr:rowOff>38099</xdr:rowOff>
    </xdr:from>
    <xdr:ext cx="25495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1553AE8-9A12-674B-A414-A167FBCE3735}"/>
            </a:ext>
          </a:extLst>
        </xdr:cNvPr>
        <xdr:cNvSpPr/>
      </xdr:nvSpPr>
      <xdr:spPr>
        <a:xfrm>
          <a:off x="2428875" y="863599"/>
          <a:ext cx="2549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304800" cy="180975"/>
    <xdr:sp macro="" textlink="">
      <xdr:nvSpPr>
        <xdr:cNvPr id="3" name="Shape 4" descr="blob:https://web.whatsapp.com/abd50bc7-5a05-4ba7-ada7-03e83cb1b906">
          <a:extLst>
            <a:ext uri="{FF2B5EF4-FFF2-40B4-BE49-F238E27FC236}">
              <a16:creationId xmlns:a16="http://schemas.microsoft.com/office/drawing/2014/main" id="{047DA300-4770-8F4A-8A6E-4A23D5B6941A}"/>
            </a:ext>
          </a:extLst>
        </xdr:cNvPr>
        <xdr:cNvSpPr/>
      </xdr:nvSpPr>
      <xdr:spPr>
        <a:xfrm>
          <a:off x="889000" y="1651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444500</xdr:colOff>
      <xdr:row>5</xdr:row>
      <xdr:rowOff>63500</xdr:rowOff>
    </xdr:from>
    <xdr:to>
      <xdr:col>15</xdr:col>
      <xdr:colOff>152400</xdr:colOff>
      <xdr:row>21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C806C6-8A95-C617-F946-F6A4DA02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889000"/>
          <a:ext cx="5486400" cy="3022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981075</xdr:colOff>
      <xdr:row>0</xdr:row>
      <xdr:rowOff>0</xdr:rowOff>
    </xdr:from>
    <xdr:ext cx="25495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4562E58-644D-244B-A225-76DB89471881}"/>
            </a:ext>
          </a:extLst>
        </xdr:cNvPr>
        <xdr:cNvSpPr/>
      </xdr:nvSpPr>
      <xdr:spPr>
        <a:xfrm>
          <a:off x="2505075" y="863599"/>
          <a:ext cx="2549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04800" cy="180975"/>
    <xdr:sp macro="" textlink="">
      <xdr:nvSpPr>
        <xdr:cNvPr id="3" name="Shape 4" descr="blob:https://web.whatsapp.com/abd50bc7-5a05-4ba7-ada7-03e83cb1b906">
          <a:extLst>
            <a:ext uri="{FF2B5EF4-FFF2-40B4-BE49-F238E27FC236}">
              <a16:creationId xmlns:a16="http://schemas.microsoft.com/office/drawing/2014/main" id="{F330F187-7612-1A48-B725-8544A39DF3C4}"/>
            </a:ext>
          </a:extLst>
        </xdr:cNvPr>
        <xdr:cNvSpPr/>
      </xdr:nvSpPr>
      <xdr:spPr>
        <a:xfrm>
          <a:off x="965200" y="165100"/>
          <a:ext cx="3048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6E7BD-37DF-8D44-9F2E-D8BA0F7ED19D}" name="Tabla1" displayName="Tabla1" ref="A5:E16" totalsRowShown="0" headerRowDxfId="11">
  <autoFilter ref="A5:E16" xr:uid="{4F56E7BD-37DF-8D44-9F2E-D8BA0F7ED19D}"/>
  <tableColumns count="5">
    <tableColumn id="1" xr3:uid="{1FB997D6-D66F-7E4E-9BBD-FB9FC83FB074}" name="Material" dataDxfId="10"/>
    <tableColumn id="2" xr3:uid="{FB6B8209-C1C1-7548-A154-1157FFD7ED77}" name="Largo"/>
    <tableColumn id="3" xr3:uid="{0F5D9B95-D635-FE44-AC2D-48F1B7FABA15}" name="Ancho"/>
    <tableColumn id="4" xr3:uid="{5307AD53-3D4B-9248-8095-AF85F6154DC3}" name="Cantidad"/>
    <tableColumn id="5" xr3:uid="{66681753-0C01-354E-8B38-6FAFDFEAD53F}" name="Cantidad materi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13F79-7810-D54B-A5BC-183C6F3DE7FB}" name="Tabla2" displayName="Tabla2" ref="A2:E3" totalsRowShown="0" headerRowDxfId="9">
  <autoFilter ref="A2:E3" xr:uid="{50A13F79-7810-D54B-A5BC-183C6F3DE7FB}"/>
  <tableColumns count="5">
    <tableColumn id="1" xr3:uid="{2A2D385E-4E84-314D-85DD-1F8AA681C128}" name="Medidas m2" dataDxfId="8">
      <calculatedColumnFormula>B3*C3</calculatedColumnFormula>
    </tableColumn>
    <tableColumn id="2" xr3:uid="{754B7637-AADD-9D45-994D-C7E7007470A2}" name="Largo m" dataDxfId="7"/>
    <tableColumn id="3" xr3:uid="{481314C8-47CC-4145-A7E7-EFFF15143F49}" name="Ancho m" dataDxfId="4"/>
    <tableColumn id="4" xr3:uid="{6107B494-566C-4642-B5A0-B58897D86989}" name="alto" dataDxfId="3"/>
    <tableColumn id="5" xr3:uid="{C2877321-BE48-1B48-8296-33B39607F8A8}" name="Empotramiento" dataDxfId="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ABD76-EFB6-A045-ADFD-AD9515691125}" name="Tabla14" displayName="Tabla14" ref="A19:E34" totalsRowShown="0" headerRowDxfId="6">
  <autoFilter ref="A19:E34" xr:uid="{22AABD76-EFB6-A045-ADFD-AD9515691125}"/>
  <tableColumns count="5">
    <tableColumn id="1" xr3:uid="{91A0111D-4D31-1049-8F8F-6BC1E09C083B}" name="Material" dataDxfId="5"/>
    <tableColumn id="2" xr3:uid="{BB9ECD18-3D1E-9A43-9D01-7783B22D4DB5}" name="Largo"/>
    <tableColumn id="3" xr3:uid="{834D109F-1B8A-6D48-8940-92838AB35226}" name="Ancho"/>
    <tableColumn id="4" xr3:uid="{E18D89F3-9B0D-7A4C-9ACC-C0A6F2C17E74}" name="Cantidad"/>
    <tableColumn id="5" xr3:uid="{F6F10FFA-A954-8046-A7BE-228FD14A4F93}" name="Cantidad materi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81915C-9246-DC49-871B-96BB2928E9CB}" name="Tabla145" displayName="Tabla145" ref="A38:E53" totalsRowShown="0" headerRowDxfId="1">
  <autoFilter ref="A38:E53" xr:uid="{4781915C-9246-DC49-871B-96BB2928E9CB}"/>
  <tableColumns count="5">
    <tableColumn id="1" xr3:uid="{48C1CD2D-1FAE-5344-B920-9FA4A618AFA0}" name="Material" dataDxfId="0"/>
    <tableColumn id="2" xr3:uid="{AEC7DF25-7841-6F4A-AD47-F8E2AD29FC42}" name="Largo"/>
    <tableColumn id="3" xr3:uid="{FF441845-BFDF-D24B-8BFA-CF7BF49B24C3}" name="Ancho"/>
    <tableColumn id="4" xr3:uid="{7F208D9B-8140-1C41-AB78-24F4E938460E}" name="Cantidad"/>
    <tableColumn id="5" xr3:uid="{E4C5076E-DD2E-8347-8DB5-40A32BD05FD3}" name="Cantidad materi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1A05-1B43-FA47-BFBA-450302496BD1}">
  <dimension ref="A1:N56"/>
  <sheetViews>
    <sheetView tabSelected="1" view="pageBreakPreview" zoomScale="160" zoomScaleNormal="100" zoomScaleSheetLayoutView="140" workbookViewId="0">
      <selection activeCell="L21" sqref="L21"/>
    </sheetView>
  </sheetViews>
  <sheetFormatPr baseColWidth="10" defaultRowHeight="13"/>
  <cols>
    <col min="1" max="1" width="5.5" customWidth="1"/>
    <col min="2" max="2" width="7.1640625" bestFit="1" customWidth="1"/>
    <col min="3" max="3" width="7.33203125" bestFit="1" customWidth="1"/>
    <col min="4" max="4" width="53.1640625" customWidth="1"/>
    <col min="5" max="5" width="19.1640625" bestFit="1" customWidth="1"/>
    <col min="6" max="6" width="12.6640625" bestFit="1" customWidth="1"/>
    <col min="7" max="7" width="11.33203125" customWidth="1"/>
    <col min="8" max="8" width="3.6640625" customWidth="1"/>
    <col min="10" max="10" width="9" customWidth="1"/>
    <col min="11" max="11" width="7.5" customWidth="1"/>
    <col min="12" max="12" width="6.6640625" customWidth="1"/>
    <col min="13" max="13" width="7" customWidth="1"/>
    <col min="14" max="14" width="6.1640625" customWidth="1"/>
  </cols>
  <sheetData>
    <row r="1" spans="1:11">
      <c r="A1" s="2"/>
      <c r="B1" s="2"/>
      <c r="C1" s="2"/>
      <c r="D1" s="2"/>
      <c r="E1" s="3"/>
      <c r="F1" s="2"/>
      <c r="G1" s="4"/>
    </row>
    <row r="2" spans="1:11" ht="26">
      <c r="A2" s="5"/>
      <c r="B2" s="6"/>
      <c r="C2" s="1"/>
      <c r="D2" s="1"/>
      <c r="E2" s="7"/>
      <c r="F2" s="8"/>
      <c r="G2" s="9"/>
    </row>
    <row r="3" spans="1:11">
      <c r="A3" s="6"/>
      <c r="B3" s="6"/>
      <c r="C3" s="6"/>
      <c r="D3" s="1"/>
      <c r="E3" s="10"/>
      <c r="F3" s="1"/>
      <c r="G3" s="9"/>
    </row>
    <row r="4" spans="1:11">
      <c r="A4" s="1"/>
      <c r="B4" s="1"/>
      <c r="C4" s="1"/>
      <c r="D4" s="1"/>
      <c r="E4" s="7"/>
      <c r="F4" s="11"/>
      <c r="G4" s="9"/>
    </row>
    <row r="5" spans="1:11">
      <c r="A5" s="1"/>
      <c r="B5" s="1"/>
      <c r="C5" s="1"/>
      <c r="D5" s="1"/>
      <c r="E5" s="10"/>
      <c r="F5" s="1"/>
      <c r="G5" s="9"/>
    </row>
    <row r="6" spans="1:11" ht="33">
      <c r="A6" s="12" t="s">
        <v>0</v>
      </c>
      <c r="B6" s="12"/>
      <c r="C6" s="12"/>
      <c r="D6" s="12"/>
      <c r="E6" s="13" t="s">
        <v>1</v>
      </c>
      <c r="F6" s="14">
        <f ca="1">TODAY()</f>
        <v>46308</v>
      </c>
      <c r="G6" s="15"/>
    </row>
    <row r="7" spans="1:11" ht="16">
      <c r="A7" s="98" t="s">
        <v>2</v>
      </c>
      <c r="B7" s="99"/>
      <c r="C7" s="100" t="s">
        <v>37</v>
      </c>
      <c r="D7" s="101"/>
      <c r="E7" s="16" t="s">
        <v>3</v>
      </c>
      <c r="F7" s="17" t="s">
        <v>74</v>
      </c>
      <c r="G7" s="9"/>
    </row>
    <row r="8" spans="1:11" ht="15" thickBot="1">
      <c r="A8" s="98" t="s">
        <v>4</v>
      </c>
      <c r="B8" s="99"/>
      <c r="C8" s="100" t="s">
        <v>26</v>
      </c>
      <c r="D8" s="101"/>
      <c r="E8" s="18"/>
      <c r="F8" s="19"/>
      <c r="G8" s="9"/>
    </row>
    <row r="9" spans="1:11" ht="14" thickBot="1">
      <c r="A9" s="20" t="s">
        <v>5</v>
      </c>
      <c r="B9" s="20" t="s">
        <v>6</v>
      </c>
      <c r="C9" s="21" t="s">
        <v>7</v>
      </c>
      <c r="D9" s="22" t="s">
        <v>8</v>
      </c>
      <c r="E9" s="23" t="s">
        <v>9</v>
      </c>
      <c r="F9" s="24" t="s">
        <v>10</v>
      </c>
      <c r="G9" s="9"/>
    </row>
    <row r="10" spans="1:11" ht="13.5" customHeight="1">
      <c r="A10" s="25"/>
      <c r="B10" s="26"/>
      <c r="C10" s="27"/>
      <c r="D10" s="28" t="s">
        <v>27</v>
      </c>
      <c r="E10" s="29"/>
      <c r="F10" s="30"/>
      <c r="G10" s="9"/>
    </row>
    <row r="11" spans="1:11" ht="161" thickBot="1">
      <c r="A11" s="31">
        <v>1</v>
      </c>
      <c r="B11" s="37">
        <v>1</v>
      </c>
      <c r="C11" s="32" t="s">
        <v>11</v>
      </c>
      <c r="D11" s="33" t="s">
        <v>34</v>
      </c>
      <c r="E11" s="34">
        <f>conteo!E16</f>
        <v>4620</v>
      </c>
      <c r="F11" s="35">
        <f>E11*B11</f>
        <v>4620</v>
      </c>
      <c r="G11" s="9"/>
    </row>
    <row r="12" spans="1:11" ht="14" thickBot="1">
      <c r="A12" s="102" t="s">
        <v>12</v>
      </c>
      <c r="B12" s="103"/>
      <c r="C12" s="103"/>
      <c r="D12" s="103"/>
      <c r="E12" s="103"/>
      <c r="F12" s="104"/>
      <c r="G12" s="9"/>
    </row>
    <row r="13" spans="1:11" ht="14" thickBot="1">
      <c r="A13" s="102" t="s">
        <v>30</v>
      </c>
      <c r="B13" s="103"/>
      <c r="C13" s="103"/>
      <c r="D13" s="103"/>
      <c r="E13" s="103"/>
      <c r="F13" s="104"/>
      <c r="G13" s="9"/>
    </row>
    <row r="14" spans="1:11" ht="14">
      <c r="A14" s="85">
        <f>A11+1</f>
        <v>2</v>
      </c>
      <c r="B14" s="86">
        <f>conteo!E11</f>
        <v>2</v>
      </c>
      <c r="C14" s="87" t="s">
        <v>11</v>
      </c>
      <c r="D14" s="128" t="s">
        <v>51</v>
      </c>
      <c r="E14" s="88">
        <v>251</v>
      </c>
      <c r="F14" s="89">
        <f>B14*E14</f>
        <v>502</v>
      </c>
      <c r="G14" s="9"/>
      <c r="I14" s="67"/>
      <c r="J14" s="67"/>
      <c r="K14" s="67"/>
    </row>
    <row r="15" spans="1:11" ht="14">
      <c r="A15" s="85">
        <f t="shared" ref="A15" si="0">A14+1</f>
        <v>3</v>
      </c>
      <c r="B15" s="86">
        <f>conteo!E7</f>
        <v>8</v>
      </c>
      <c r="C15" s="87" t="s">
        <v>11</v>
      </c>
      <c r="D15" s="128" t="s">
        <v>129</v>
      </c>
      <c r="E15" s="90">
        <f>IFERROR(_xlfn.XLOOKUP(D15,Materiales!$D$1:$D$93,Materiales!$E$1:$E$93),"")</f>
        <v>118.5</v>
      </c>
      <c r="F15" s="89">
        <f t="shared" ref="F15:F33" si="1">B15*E15</f>
        <v>948</v>
      </c>
      <c r="G15" s="9"/>
    </row>
    <row r="16" spans="1:11" ht="14">
      <c r="A16" s="85">
        <f>A15+1</f>
        <v>4</v>
      </c>
      <c r="B16" s="86">
        <f>conteo!E6</f>
        <v>2</v>
      </c>
      <c r="C16" s="87" t="s">
        <v>11</v>
      </c>
      <c r="D16" s="128" t="s">
        <v>120</v>
      </c>
      <c r="E16" s="90">
        <f>IFERROR(_xlfn.XLOOKUP(D16,Materiales!$D$1:$D$93,Materiales!$E$1:$E$93),"")</f>
        <v>400.5</v>
      </c>
      <c r="F16" s="89">
        <f>IF(E16="","",B16*E16)</f>
        <v>801</v>
      </c>
      <c r="G16" s="9"/>
      <c r="I16" s="67"/>
      <c r="J16" s="67"/>
      <c r="K16" s="67"/>
    </row>
    <row r="17" spans="1:11" ht="14">
      <c r="A17" s="85">
        <f t="shared" ref="A17:A21" si="2">A16+1</f>
        <v>5</v>
      </c>
      <c r="B17" s="86">
        <f>conteo!E12</f>
        <v>7</v>
      </c>
      <c r="C17" s="87" t="s">
        <v>11</v>
      </c>
      <c r="D17" s="128" t="s">
        <v>154</v>
      </c>
      <c r="E17" s="90">
        <f>IFERROR(_xlfn.XLOOKUP(D17,Materiales!$D$1:$D$93,Materiales!$E$1:$E$93),"")</f>
        <v>140</v>
      </c>
      <c r="F17" s="89">
        <f t="shared" si="1"/>
        <v>980</v>
      </c>
      <c r="G17" s="42"/>
      <c r="I17" s="67"/>
      <c r="J17" s="67"/>
      <c r="K17" s="67"/>
    </row>
    <row r="18" spans="1:11" ht="14">
      <c r="A18" s="85">
        <f t="shared" si="2"/>
        <v>6</v>
      </c>
      <c r="B18" s="86">
        <f>conteo!E8</f>
        <v>31</v>
      </c>
      <c r="C18" s="87" t="s">
        <v>48</v>
      </c>
      <c r="D18" s="128" t="s">
        <v>47</v>
      </c>
      <c r="E18" s="90">
        <f>IFERROR(_xlfn.XLOOKUP(D18,Materiales!$D$1:$D$93,Materiales!$E$1:$E$93),"")</f>
        <v>62.7</v>
      </c>
      <c r="F18" s="89">
        <f t="shared" si="1"/>
        <v>1943.7</v>
      </c>
      <c r="G18" s="9"/>
      <c r="I18" s="67"/>
      <c r="J18" s="67"/>
      <c r="K18" s="67"/>
    </row>
    <row r="19" spans="1:11" ht="14">
      <c r="A19" s="85">
        <f t="shared" si="2"/>
        <v>7</v>
      </c>
      <c r="B19" s="86">
        <f>12*B18</f>
        <v>372</v>
      </c>
      <c r="C19" s="87" t="s">
        <v>11</v>
      </c>
      <c r="D19" s="64" t="s">
        <v>29</v>
      </c>
      <c r="E19" s="88">
        <v>0.4</v>
      </c>
      <c r="F19" s="89">
        <f>B19*E19</f>
        <v>148.80000000000001</v>
      </c>
      <c r="G19" s="9"/>
      <c r="H19" s="66"/>
      <c r="I19" s="68"/>
      <c r="J19" s="68"/>
      <c r="K19" s="68"/>
    </row>
    <row r="20" spans="1:11" ht="14">
      <c r="A20" s="85">
        <f t="shared" si="2"/>
        <v>8</v>
      </c>
      <c r="B20" s="86">
        <f>conteo!E10</f>
        <v>2</v>
      </c>
      <c r="C20" s="87" t="s">
        <v>13</v>
      </c>
      <c r="D20" s="64" t="s">
        <v>82</v>
      </c>
      <c r="E20" s="88">
        <v>190</v>
      </c>
      <c r="F20" s="89">
        <f>B20*E20</f>
        <v>380</v>
      </c>
      <c r="G20" s="9"/>
      <c r="H20" s="66"/>
      <c r="I20" s="66"/>
      <c r="J20" s="66"/>
      <c r="K20" s="66"/>
    </row>
    <row r="21" spans="1:11" ht="14">
      <c r="A21" s="85">
        <f t="shared" si="2"/>
        <v>9</v>
      </c>
      <c r="B21" s="86" cm="1">
        <f t="array" ref="B21">ROUND((Tabla2[Medidas m2]/50)+0.5,0)</f>
        <v>1</v>
      </c>
      <c r="C21" s="87" t="s">
        <v>11</v>
      </c>
      <c r="D21" s="64" t="s">
        <v>83</v>
      </c>
      <c r="E21" s="88">
        <v>180</v>
      </c>
      <c r="F21" s="89">
        <f>B21*E21</f>
        <v>180</v>
      </c>
      <c r="G21" s="9"/>
      <c r="H21" s="66"/>
      <c r="I21" s="66"/>
      <c r="J21" s="66"/>
      <c r="K21" s="66"/>
    </row>
    <row r="22" spans="1:11" ht="25" thickBot="1">
      <c r="A22" s="85">
        <f>A21+1</f>
        <v>10</v>
      </c>
      <c r="B22" s="86" cm="1">
        <f t="array" ref="B22">ROUND((Tabla2[Medidas m2]/50)+0.5,0)</f>
        <v>1</v>
      </c>
      <c r="C22" s="87" t="s">
        <v>11</v>
      </c>
      <c r="D22" s="64" t="s">
        <v>36</v>
      </c>
      <c r="E22" s="92">
        <v>1800</v>
      </c>
      <c r="F22" s="93">
        <f>E22*B22</f>
        <v>1800</v>
      </c>
      <c r="G22" s="42"/>
    </row>
    <row r="23" spans="1:11" ht="14" thickBot="1">
      <c r="A23" s="105" t="s">
        <v>31</v>
      </c>
      <c r="B23" s="103"/>
      <c r="C23" s="103"/>
      <c r="D23" s="103"/>
      <c r="E23" s="103"/>
      <c r="F23" s="104"/>
      <c r="G23" s="9"/>
    </row>
    <row r="24" spans="1:11" ht="12" customHeight="1">
      <c r="A24" s="85">
        <f>A22+1</f>
        <v>11</v>
      </c>
      <c r="B24" s="86">
        <f>ROUND(conteo!B3,0)</f>
        <v>6</v>
      </c>
      <c r="C24" s="87" t="s">
        <v>13</v>
      </c>
      <c r="D24" s="64" t="s">
        <v>41</v>
      </c>
      <c r="E24" s="91">
        <v>140</v>
      </c>
      <c r="F24" s="89">
        <f>B24*E24</f>
        <v>840</v>
      </c>
      <c r="G24" s="9"/>
    </row>
    <row r="25" spans="1:11" ht="12" customHeight="1">
      <c r="A25" s="85">
        <f>A24+1</f>
        <v>12</v>
      </c>
      <c r="B25" s="86"/>
      <c r="C25" s="87" t="s">
        <v>13</v>
      </c>
      <c r="D25" s="64" t="s">
        <v>150</v>
      </c>
      <c r="E25" s="91">
        <v>150</v>
      </c>
      <c r="F25" s="89">
        <v>1180</v>
      </c>
      <c r="G25" s="9"/>
    </row>
    <row r="26" spans="1:11" ht="12" customHeight="1">
      <c r="A26" s="85">
        <f>A24+1</f>
        <v>12</v>
      </c>
      <c r="B26" s="86"/>
      <c r="C26" s="87" t="s">
        <v>11</v>
      </c>
      <c r="D26" s="64" t="s">
        <v>39</v>
      </c>
      <c r="E26" s="91">
        <v>65</v>
      </c>
      <c r="F26" s="89">
        <f>B26*E26</f>
        <v>0</v>
      </c>
      <c r="G26" s="9"/>
    </row>
    <row r="27" spans="1:11" ht="12" customHeight="1" thickBot="1">
      <c r="A27" s="85">
        <f>A26+1</f>
        <v>13</v>
      </c>
      <c r="B27" s="86"/>
      <c r="C27" s="87" t="s">
        <v>11</v>
      </c>
      <c r="D27" s="64" t="s">
        <v>38</v>
      </c>
      <c r="E27" s="91">
        <v>10</v>
      </c>
      <c r="F27" s="89">
        <f>B27*E27</f>
        <v>0</v>
      </c>
      <c r="G27" s="9"/>
    </row>
    <row r="28" spans="1:11" ht="10.5" customHeight="1" thickBot="1">
      <c r="A28" s="105" t="s">
        <v>32</v>
      </c>
      <c r="B28" s="103"/>
      <c r="C28" s="103"/>
      <c r="D28" s="103"/>
      <c r="E28" s="103"/>
      <c r="F28" s="104"/>
      <c r="G28" s="9"/>
    </row>
    <row r="29" spans="1:11" ht="12" customHeight="1">
      <c r="A29" s="85">
        <f>A26+1</f>
        <v>13</v>
      </c>
      <c r="B29" s="86">
        <f>conteo!E9</f>
        <v>18</v>
      </c>
      <c r="C29" s="87" t="s">
        <v>11</v>
      </c>
      <c r="D29" s="64" t="s">
        <v>44</v>
      </c>
      <c r="E29" s="88">
        <v>78</v>
      </c>
      <c r="F29" s="89">
        <f t="shared" si="1"/>
        <v>1404</v>
      </c>
      <c r="G29" s="9"/>
    </row>
    <row r="30" spans="1:11" ht="14">
      <c r="A30" s="85">
        <f>A29+1</f>
        <v>14</v>
      </c>
      <c r="B30" s="86">
        <f>conteo!E13</f>
        <v>11</v>
      </c>
      <c r="C30" s="87" t="s">
        <v>11</v>
      </c>
      <c r="D30" s="128" t="s">
        <v>35</v>
      </c>
      <c r="E30" s="90">
        <f>IFERROR(_xlfn.XLOOKUP(D30,Materiales!$D$1:$D$93,Materiales!$E$1:$E$93),"")</f>
        <v>34</v>
      </c>
      <c r="F30" s="89">
        <f t="shared" si="1"/>
        <v>374</v>
      </c>
      <c r="G30" s="9"/>
      <c r="H30" s="66"/>
      <c r="I30" s="66"/>
      <c r="J30" s="66"/>
      <c r="K30" s="66"/>
    </row>
    <row r="31" spans="1:11" ht="14">
      <c r="A31" s="85">
        <f t="shared" ref="A31:A32" si="3">A30+1</f>
        <v>15</v>
      </c>
      <c r="B31" s="86">
        <f>conteo!E14</f>
        <v>2</v>
      </c>
      <c r="C31" s="87" t="s">
        <v>11</v>
      </c>
      <c r="D31" s="64" t="s">
        <v>45</v>
      </c>
      <c r="E31" s="88">
        <f>22.5*20</f>
        <v>450</v>
      </c>
      <c r="F31" s="89">
        <f t="shared" si="1"/>
        <v>900</v>
      </c>
      <c r="G31" s="9"/>
      <c r="H31" s="66"/>
      <c r="I31" s="66"/>
      <c r="J31" s="66"/>
      <c r="K31" s="66"/>
    </row>
    <row r="32" spans="1:11" ht="14">
      <c r="A32" s="85">
        <f t="shared" si="3"/>
        <v>16</v>
      </c>
      <c r="B32" s="86">
        <v>1</v>
      </c>
      <c r="C32" s="87" t="s">
        <v>11</v>
      </c>
      <c r="D32" s="64" t="s">
        <v>53</v>
      </c>
      <c r="E32" s="88">
        <v>50</v>
      </c>
      <c r="F32" s="89">
        <f t="shared" si="1"/>
        <v>50</v>
      </c>
      <c r="G32" s="9"/>
    </row>
    <row r="33" spans="1:14" ht="15" thickBot="1">
      <c r="A33" s="85">
        <f>A32+1</f>
        <v>17</v>
      </c>
      <c r="B33" s="86">
        <f>(B29*B30)</f>
        <v>198</v>
      </c>
      <c r="C33" s="87" t="s">
        <v>11</v>
      </c>
      <c r="D33" s="64" t="s">
        <v>40</v>
      </c>
      <c r="E33" s="88">
        <v>0.1</v>
      </c>
      <c r="F33" s="89">
        <f t="shared" si="1"/>
        <v>19.8</v>
      </c>
      <c r="G33" s="9"/>
    </row>
    <row r="34" spans="1:14" ht="14" thickBot="1">
      <c r="A34" s="105" t="s">
        <v>33</v>
      </c>
      <c r="B34" s="103"/>
      <c r="C34" s="103"/>
      <c r="D34" s="103"/>
      <c r="E34" s="103"/>
      <c r="F34" s="104"/>
      <c r="G34" s="9"/>
    </row>
    <row r="35" spans="1:14" ht="12.75" customHeight="1">
      <c r="A35" s="85">
        <f>A33+1</f>
        <v>18</v>
      </c>
      <c r="B35" s="86" cm="1">
        <f t="array" ref="B35">ROUND(Tabla2[Medidas m2]/4+0.5,0)</f>
        <v>6</v>
      </c>
      <c r="C35" s="87" t="s">
        <v>11</v>
      </c>
      <c r="D35" s="64" t="s">
        <v>77</v>
      </c>
      <c r="E35" s="88">
        <v>35</v>
      </c>
      <c r="F35" s="89">
        <f t="shared" ref="F35:F38" si="4">B35*E35</f>
        <v>210</v>
      </c>
      <c r="G35" s="9"/>
    </row>
    <row r="36" spans="1:14" ht="14">
      <c r="A36" s="85">
        <f t="shared" ref="A36:A38" si="5">A35+1</f>
        <v>19</v>
      </c>
      <c r="B36" s="86">
        <f>B35*12</f>
        <v>72</v>
      </c>
      <c r="C36" s="87" t="s">
        <v>13</v>
      </c>
      <c r="D36" s="64" t="s">
        <v>135</v>
      </c>
      <c r="E36" s="88">
        <v>3</v>
      </c>
      <c r="F36" s="89">
        <f t="shared" si="4"/>
        <v>216</v>
      </c>
      <c r="G36" s="9"/>
    </row>
    <row r="37" spans="1:14" ht="12.75" customHeight="1" thickBot="1">
      <c r="A37" s="85">
        <f t="shared" si="5"/>
        <v>20</v>
      </c>
      <c r="B37" s="86">
        <v>1</v>
      </c>
      <c r="C37" s="87" t="s">
        <v>11</v>
      </c>
      <c r="D37" s="64" t="s">
        <v>79</v>
      </c>
      <c r="E37" s="88">
        <v>25</v>
      </c>
      <c r="F37" s="89">
        <f t="shared" si="4"/>
        <v>25</v>
      </c>
      <c r="G37" s="9"/>
      <c r="I37" s="69" t="s">
        <v>144</v>
      </c>
      <c r="J37" s="69" t="s">
        <v>143</v>
      </c>
    </row>
    <row r="38" spans="1:14" ht="15" thickBot="1">
      <c r="A38" s="85">
        <f t="shared" si="5"/>
        <v>21</v>
      </c>
      <c r="B38" s="86">
        <f>B35+1</f>
        <v>7</v>
      </c>
      <c r="C38" s="87" t="s">
        <v>11</v>
      </c>
      <c r="D38" s="64" t="s">
        <v>43</v>
      </c>
      <c r="E38" s="88">
        <v>8</v>
      </c>
      <c r="F38" s="94">
        <f t="shared" si="4"/>
        <v>56</v>
      </c>
      <c r="G38" s="9"/>
      <c r="I38" s="83" t="s">
        <v>84</v>
      </c>
      <c r="J38" s="78">
        <v>600</v>
      </c>
      <c r="K38" s="78">
        <v>650</v>
      </c>
      <c r="L38" s="78">
        <v>700</v>
      </c>
      <c r="M38" s="78">
        <v>750</v>
      </c>
      <c r="N38" s="78">
        <v>800</v>
      </c>
    </row>
    <row r="39" spans="1:14" ht="14" thickBot="1">
      <c r="A39" s="106" t="s">
        <v>14</v>
      </c>
      <c r="B39" s="107"/>
      <c r="C39" s="107"/>
      <c r="D39" s="108"/>
      <c r="E39" s="43" t="s">
        <v>15</v>
      </c>
      <c r="F39" s="81">
        <f>SUM(F11:F38)</f>
        <v>17578.3</v>
      </c>
      <c r="G39" s="9"/>
      <c r="I39" s="78" t="s">
        <v>75</v>
      </c>
      <c r="J39" s="78" cm="1">
        <f t="array" ref="J39">Tabla2[Medidas m2]*600</f>
        <v>14040</v>
      </c>
      <c r="K39" s="78" cm="1">
        <f t="array" ref="K39">+Tabla2[Medidas m2]*650</f>
        <v>15209.999999999998</v>
      </c>
      <c r="L39" s="78" cm="1">
        <f t="array" ref="L39">+Tabla2[Medidas m2]*700</f>
        <v>16379.999999999998</v>
      </c>
      <c r="M39" s="78" cm="1">
        <f t="array" ref="M39">+Tabla2[Medidas m2]*750</f>
        <v>17550</v>
      </c>
      <c r="N39" s="78" cm="1">
        <f t="array" ref="N39">+Tabla2[Medidas m2]*800</f>
        <v>18720</v>
      </c>
    </row>
    <row r="40" spans="1:14" ht="14" thickBot="1">
      <c r="A40" s="109" t="s">
        <v>16</v>
      </c>
      <c r="B40" s="110"/>
      <c r="C40" s="110"/>
      <c r="D40" s="111"/>
      <c r="E40" s="43" t="s">
        <v>17</v>
      </c>
      <c r="F40" s="79">
        <f>F39/6.96</f>
        <v>2525.617816091954</v>
      </c>
      <c r="G40" s="9"/>
      <c r="H40" s="69"/>
      <c r="I40" s="78" t="s">
        <v>76</v>
      </c>
      <c r="J40" s="82">
        <f>+F39-E11</f>
        <v>12958.3</v>
      </c>
      <c r="K40" s="78"/>
      <c r="L40" s="78"/>
      <c r="M40" s="78"/>
      <c r="N40" s="78"/>
    </row>
    <row r="41" spans="1:14" ht="15" thickBot="1">
      <c r="A41" s="95" t="s">
        <v>171</v>
      </c>
      <c r="B41" s="96"/>
      <c r="C41" s="96"/>
      <c r="D41" s="97"/>
      <c r="E41" s="44" t="s">
        <v>49</v>
      </c>
      <c r="F41" s="45">
        <f>F39*1.1</f>
        <v>19336.13</v>
      </c>
      <c r="G41" s="9"/>
      <c r="H41" s="69"/>
    </row>
    <row r="42" spans="1:14" ht="14" thickBot="1">
      <c r="A42" s="114" t="str">
        <f>"Area de la pérgola "&amp;conteo!A3&amp;" m2"</f>
        <v>Area de la pérgola 23,4 m2</v>
      </c>
      <c r="B42" s="103"/>
      <c r="C42" s="103"/>
      <c r="D42" s="103"/>
      <c r="E42" s="103"/>
      <c r="F42" s="104"/>
      <c r="G42" s="9"/>
    </row>
    <row r="43" spans="1:14" ht="14" customHeight="1" thickBot="1">
      <c r="A43" s="130" t="s">
        <v>172</v>
      </c>
      <c r="B43" s="131"/>
      <c r="C43" s="131"/>
      <c r="D43" s="132" t="str">
        <f>(conteo!D16)&amp;" Días"</f>
        <v>14 Días</v>
      </c>
      <c r="E43" s="129"/>
      <c r="F43" s="129"/>
      <c r="G43" s="9"/>
    </row>
    <row r="44" spans="1:14">
      <c r="A44" s="115" t="s">
        <v>18</v>
      </c>
      <c r="B44" s="107"/>
      <c r="C44" s="113"/>
      <c r="D44" s="46"/>
      <c r="E44" s="47"/>
      <c r="F44" s="48"/>
      <c r="G44" s="9"/>
    </row>
    <row r="45" spans="1:14">
      <c r="A45" s="116" t="s">
        <v>19</v>
      </c>
      <c r="B45" s="110"/>
      <c r="C45" s="117"/>
      <c r="D45" s="49"/>
      <c r="E45" s="50"/>
      <c r="F45" s="51"/>
      <c r="G45" s="9"/>
    </row>
    <row r="46" spans="1:14">
      <c r="A46" s="116" t="s">
        <v>20</v>
      </c>
      <c r="B46" s="110"/>
      <c r="C46" s="117"/>
      <c r="D46" s="52"/>
      <c r="E46" s="50"/>
      <c r="F46" s="51"/>
      <c r="G46" s="9"/>
    </row>
    <row r="47" spans="1:14">
      <c r="A47" s="116" t="s">
        <v>21</v>
      </c>
      <c r="B47" s="110"/>
      <c r="C47" s="117"/>
      <c r="D47" s="53"/>
      <c r="E47" s="50"/>
      <c r="F47" s="51"/>
      <c r="G47" s="9"/>
    </row>
    <row r="48" spans="1:14">
      <c r="A48" s="116" t="s">
        <v>22</v>
      </c>
      <c r="B48" s="110"/>
      <c r="C48" s="117"/>
      <c r="D48" s="52"/>
      <c r="E48" s="54"/>
      <c r="F48" s="51"/>
      <c r="G48" s="42"/>
    </row>
    <row r="49" spans="1:7">
      <c r="A49" s="55"/>
      <c r="B49" s="56"/>
      <c r="C49" s="56"/>
      <c r="D49" s="57"/>
      <c r="E49" s="58"/>
      <c r="F49" s="74"/>
      <c r="G49" s="75"/>
    </row>
    <row r="50" spans="1:7">
      <c r="A50" s="55"/>
      <c r="B50" s="118" t="s">
        <v>23</v>
      </c>
      <c r="C50" s="110"/>
      <c r="D50" s="117"/>
      <c r="E50" s="58"/>
      <c r="F50" s="51"/>
    </row>
    <row r="51" spans="1:7">
      <c r="A51" s="59"/>
      <c r="B51" s="118" t="s">
        <v>24</v>
      </c>
      <c r="C51" s="110"/>
      <c r="D51" s="117"/>
      <c r="E51" s="119" t="s">
        <v>25</v>
      </c>
      <c r="F51" s="120"/>
    </row>
    <row r="52" spans="1:7" ht="14" thickBot="1">
      <c r="A52" s="60"/>
      <c r="B52" s="61"/>
      <c r="C52" s="61"/>
      <c r="D52" s="61"/>
      <c r="E52" s="62"/>
      <c r="F52" s="63"/>
    </row>
    <row r="53" spans="1:7">
      <c r="A53" s="112" t="s">
        <v>28</v>
      </c>
      <c r="B53" s="107"/>
      <c r="C53" s="107"/>
      <c r="D53" s="107"/>
      <c r="E53" s="107"/>
      <c r="F53" s="113"/>
    </row>
    <row r="54" spans="1:7">
      <c r="A54" s="76"/>
      <c r="B54" s="76"/>
      <c r="C54" s="76"/>
      <c r="D54" s="76"/>
      <c r="E54" s="77"/>
      <c r="F54" s="76"/>
    </row>
    <row r="55" spans="1:7">
      <c r="A55" s="67"/>
      <c r="B55" s="67"/>
      <c r="C55" s="67"/>
      <c r="D55" s="67"/>
      <c r="E55" s="67"/>
      <c r="F55" s="67"/>
    </row>
    <row r="56" spans="1:7">
      <c r="A56" s="67"/>
      <c r="B56" s="67"/>
      <c r="C56" s="67"/>
      <c r="D56" s="67"/>
      <c r="E56" s="67"/>
      <c r="F56" s="67"/>
    </row>
  </sheetData>
  <mergeCells count="24">
    <mergeCell ref="A53:F53"/>
    <mergeCell ref="A42:F42"/>
    <mergeCell ref="A44:C44"/>
    <mergeCell ref="A45:C45"/>
    <mergeCell ref="A46:C46"/>
    <mergeCell ref="A47:C47"/>
    <mergeCell ref="A48:C48"/>
    <mergeCell ref="B50:D50"/>
    <mergeCell ref="B51:D51"/>
    <mergeCell ref="E51:F51"/>
    <mergeCell ref="A43:C43"/>
    <mergeCell ref="D43:F43"/>
    <mergeCell ref="A41:D41"/>
    <mergeCell ref="A7:B7"/>
    <mergeCell ref="C7:D7"/>
    <mergeCell ref="A8:B8"/>
    <mergeCell ref="C8:D8"/>
    <mergeCell ref="A12:F12"/>
    <mergeCell ref="A13:F13"/>
    <mergeCell ref="A23:F23"/>
    <mergeCell ref="A28:F28"/>
    <mergeCell ref="A34:F34"/>
    <mergeCell ref="A39:D39"/>
    <mergeCell ref="A40:D40"/>
  </mergeCells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No coincide" error="Seleccione un perfil adecuado para viga" promptTitle="Viga de cubierta par cuerda sup." prompt="Seleccione un perfil para viga" xr:uid="{E5B34DC7-6E40-8549-B886-8478AAAA7AC8}">
          <x14:formula1>
            <xm:f>Materiales!$D$23:$D$26</xm:f>
          </x14:formula1>
          <xm:sqref>D16</xm:sqref>
        </x14:dataValidation>
        <x14:dataValidation type="list" allowBlank="1" showInputMessage="1" showErrorMessage="1" errorTitle="Error " promptTitle="Cenefa" prompt="seleccione una opcion de perfil U" xr:uid="{25FD6C42-097A-9642-986E-E179C13DC649}">
          <x14:formula1>
            <xm:f>Materiales!$D$12:$D$13</xm:f>
          </x14:formula1>
          <xm:sqref>D17</xm:sqref>
        </x14:dataValidation>
        <x14:dataValidation type="list" allowBlank="1" showInputMessage="1" showErrorMessage="1" errorTitle="Error" error="Vuelva a intentar" promptTitle="Correa" prompt="Seleccione un material" xr:uid="{9401E67D-E767-E84B-AA26-C9DC00BE4B49}">
          <x14:formula1>
            <xm:f>Materiales!$D$5:$D$9</xm:f>
          </x14:formula1>
          <xm:sqref>D15</xm:sqref>
        </x14:dataValidation>
        <x14:dataValidation type="list" allowBlank="1" showInputMessage="1" showErrorMessage="1" errorTitle="Error" error="Intente nuevamente" promptTitle="Parantes" prompt="Seleccione un material" xr:uid="{BD202E25-D53D-5040-A8DC-E890E886CCF0}">
          <x14:formula1>
            <xm:f>Materiales!$D$20:$D$22</xm:f>
          </x14:formula1>
          <xm:sqref>D14</xm:sqref>
        </x14:dataValidation>
        <x14:dataValidation type="list" allowBlank="1" showInputMessage="1" showErrorMessage="1" errorTitle="Error" error="Seleccione nuevamente" promptTitle="Material de cubierta" prompt="Seleccione un material" xr:uid="{282AFBB3-4E65-0949-A015-A63388E365C7}">
          <x14:formula1>
            <xm:f>Materiales!$D$50:$D$53</xm:f>
          </x14:formula1>
          <xm:sqref>D18</xm:sqref>
        </x14:dataValidation>
        <x14:dataValidation type="list" allowBlank="1" showInputMessage="1" showErrorMessage="1" errorTitle="Error" error="Intente nuevamente" promptTitle="Soporte de Cielo falso" prompt="Seleccione un material" xr:uid="{41C16BC2-807B-5040-8E2A-DA5B04919714}">
          <x14:formula1>
            <xm:f>Materiales!$D$74:$D$78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4A89-FD62-4941-9C99-879414008571}">
  <dimension ref="A1:I53"/>
  <sheetViews>
    <sheetView workbookViewId="0">
      <selection activeCell="C4" sqref="C4"/>
    </sheetView>
  </sheetViews>
  <sheetFormatPr baseColWidth="10" defaultRowHeight="13"/>
  <cols>
    <col min="1" max="1" width="21.33203125" customWidth="1"/>
    <col min="2" max="2" width="9.83203125" customWidth="1"/>
    <col min="3" max="3" width="13.6640625" bestFit="1" customWidth="1"/>
    <col min="5" max="5" width="17" customWidth="1"/>
  </cols>
  <sheetData>
    <row r="1" spans="1:9">
      <c r="A1" s="126" t="s">
        <v>168</v>
      </c>
      <c r="B1" s="127"/>
      <c r="C1" s="127"/>
      <c r="D1" s="127"/>
      <c r="E1" s="127"/>
      <c r="F1" s="69"/>
    </row>
    <row r="2" spans="1:9">
      <c r="A2" s="69" t="s">
        <v>72</v>
      </c>
      <c r="B2" s="69" t="s">
        <v>60</v>
      </c>
      <c r="C2" s="69" t="s">
        <v>61</v>
      </c>
      <c r="D2" s="69" t="s">
        <v>164</v>
      </c>
      <c r="E2" s="69" t="s">
        <v>165</v>
      </c>
    </row>
    <row r="3" spans="1:9">
      <c r="A3" s="73">
        <f>B3*C3</f>
        <v>23.4</v>
      </c>
      <c r="B3" s="84">
        <v>6</v>
      </c>
      <c r="C3" s="72">
        <v>3.9</v>
      </c>
      <c r="D3" s="123">
        <v>3</v>
      </c>
      <c r="E3" s="125" t="s">
        <v>166</v>
      </c>
      <c r="I3" s="69" t="s">
        <v>59</v>
      </c>
    </row>
    <row r="5" spans="1:9">
      <c r="A5" s="69" t="s">
        <v>57</v>
      </c>
      <c r="B5" s="69" t="s">
        <v>54</v>
      </c>
      <c r="C5" s="69" t="s">
        <v>55</v>
      </c>
      <c r="D5" s="69" t="s">
        <v>58</v>
      </c>
      <c r="E5" s="69" t="s">
        <v>64</v>
      </c>
    </row>
    <row r="6" spans="1:9">
      <c r="A6" s="69" t="s">
        <v>157</v>
      </c>
      <c r="B6">
        <f>ROUND((B3/2.5)+0.5,0)</f>
        <v>3</v>
      </c>
      <c r="C6" s="70" cm="1">
        <f t="array" ref="C6">SQRT((Tabla2[Ancho m]^2)+(0.16^2))</f>
        <v>3.9032806714352479</v>
      </c>
      <c r="D6">
        <f>Tabla1[[#This Row],[Largo]]*Tabla1[[#This Row],[Ancho]]</f>
        <v>11.709842014305744</v>
      </c>
      <c r="E6">
        <f>ROUND(((Tabla1[[#This Row],[Cantidad]]/6)+0.5),0)</f>
        <v>2</v>
      </c>
    </row>
    <row r="7" spans="1:9">
      <c r="A7" s="69" t="s">
        <v>158</v>
      </c>
      <c r="B7" s="70" cm="1">
        <f t="array" ref="B7">Tabla2[Largo m]</f>
        <v>6</v>
      </c>
      <c r="C7" s="71">
        <f>ROUND((C3/0.6)+0.5,0)</f>
        <v>7</v>
      </c>
      <c r="D7" s="71">
        <f>Tabla1[[#This Row],[Largo]]*Tabla1[[#This Row],[Ancho]]</f>
        <v>42</v>
      </c>
      <c r="E7">
        <f>ROUND((D7/6)+0.5,0)</f>
        <v>8</v>
      </c>
    </row>
    <row r="8" spans="1:9">
      <c r="A8" s="69" t="s">
        <v>159</v>
      </c>
      <c r="B8">
        <f>ROUND((B3/0.8)+0.5,0)</f>
        <v>8</v>
      </c>
      <c r="C8" s="70" cm="1">
        <f t="array" ref="C8">(SQRT((Tabla2[Ancho m]^2)+(0.16^2))-0.05)</f>
        <v>3.8532806714352481</v>
      </c>
      <c r="D8" s="71"/>
      <c r="E8">
        <f>ROUND((B8*Tabla1[[#This Row],[Ancho]])+0.5,0)</f>
        <v>31</v>
      </c>
    </row>
    <row r="9" spans="1:9">
      <c r="A9" s="69" t="s">
        <v>160</v>
      </c>
      <c r="B9" s="70" cm="1">
        <f t="array" ref="B9">(Tabla2[Largo m]/5.95)+0.1</f>
        <v>1.1084033613445379</v>
      </c>
      <c r="C9" s="71" cm="1">
        <f t="array" ref="C9">ROUND((Tabla2[Ancho m]/0.25)+0.5,0)</f>
        <v>16</v>
      </c>
      <c r="D9" s="71"/>
      <c r="E9">
        <f>ROUND(Tabla1[[#This Row],[Largo]]*Tabla1[[#This Row],[Ancho]]+0.5,0)</f>
        <v>18</v>
      </c>
    </row>
    <row r="10" spans="1:9">
      <c r="A10" s="69" t="s">
        <v>81</v>
      </c>
      <c r="B10">
        <f>B3</f>
        <v>6</v>
      </c>
      <c r="C10">
        <f>C3*2</f>
        <v>7.8</v>
      </c>
      <c r="D10">
        <f>ROUND((Tabla1[[#This Row],[Ancho]]+Tabla1[[#This Row],[Largo]])+0.5,0)</f>
        <v>14</v>
      </c>
      <c r="E10">
        <f>ROUND((Tabla1[[#This Row],[Cantidad]]/10)+0.5,0)</f>
        <v>2</v>
      </c>
    </row>
    <row r="11" spans="1:9">
      <c r="A11" s="69" t="s">
        <v>161</v>
      </c>
      <c r="B11" s="124" cm="1">
        <f t="array" ref="B11">ROUND(Tabla2[Largo m]/3,0)</f>
        <v>2</v>
      </c>
      <c r="C11" cm="1">
        <f t="array" ref="C11">ROUND(Tabla2[Ancho m]/3,0)</f>
        <v>1</v>
      </c>
      <c r="D11" cm="1">
        <f t="array" ref="D11">IF(Tabla2[Empotramiento]="muro",1,IF(Tabla2[Empotramiento]="ambos",2,""))</f>
        <v>1</v>
      </c>
      <c r="E11">
        <f>(Tabla1[[#This Row],[Largo]]*Tabla1[[#This Row],[Cantidad]])+((Tabla1[[#This Row],[Ancho]]-1)*2)</f>
        <v>2</v>
      </c>
    </row>
    <row r="12" spans="1:9" ht="28">
      <c r="A12" s="122" t="s">
        <v>162</v>
      </c>
      <c r="B12" s="70" cm="1">
        <f t="array" ref="B12">Tabla2[Largo m]*2</f>
        <v>12</v>
      </c>
      <c r="C12" s="70" cm="1">
        <f t="array" ref="C12">Tabla2[Ancho m]*2</f>
        <v>7.8</v>
      </c>
      <c r="D12" s="70">
        <f>Tabla1[[#This Row],[Largo]]+Tabla1[[#This Row],[Ancho]]</f>
        <v>19.8</v>
      </c>
      <c r="E12" s="71">
        <f>ROUND(Tabla1[[#This Row],[Cantidad]]/3+0.5,0)</f>
        <v>7</v>
      </c>
    </row>
    <row r="13" spans="1:9" ht="28">
      <c r="A13" s="122" t="s">
        <v>163</v>
      </c>
      <c r="B13" s="70" cm="1">
        <f t="array" ref="B13">Tabla2[Largo m]</f>
        <v>6</v>
      </c>
      <c r="C13">
        <f>ROUND((C3/0.4)+0.5,0)</f>
        <v>10</v>
      </c>
      <c r="D13" s="70">
        <f>C13*Tabla1[[#This Row],[Largo]]</f>
        <v>60</v>
      </c>
      <c r="E13">
        <f>ROUND((D13/6)+0.5,0)</f>
        <v>11</v>
      </c>
    </row>
    <row r="14" spans="1:9">
      <c r="A14" s="69" t="s">
        <v>70</v>
      </c>
      <c r="B14">
        <f>ROUND((B3+0.5),0)</f>
        <v>7</v>
      </c>
      <c r="C14" cm="1">
        <f t="array" ref="C14">Tabla2[Ancho m]</f>
        <v>3.9</v>
      </c>
      <c r="D14">
        <f>B14*C14</f>
        <v>27.3</v>
      </c>
      <c r="E14">
        <f>ROUND((D14/20)+0.5,0)</f>
        <v>2</v>
      </c>
    </row>
    <row r="15" spans="1:9">
      <c r="A15" s="69" t="s">
        <v>71</v>
      </c>
      <c r="B15">
        <f>B3*2</f>
        <v>12</v>
      </c>
      <c r="C15">
        <f>C3*2</f>
        <v>7.8</v>
      </c>
      <c r="D15">
        <f>B15+C15</f>
        <v>19.8</v>
      </c>
      <c r="E15">
        <f>ROUND((D15/6)+0.5,0)</f>
        <v>4</v>
      </c>
    </row>
    <row r="16" spans="1:9">
      <c r="A16" s="69" t="s">
        <v>167</v>
      </c>
      <c r="B16" s="71">
        <f>200*Tabla1[[#This Row],[Cantidad]]</f>
        <v>2800</v>
      </c>
      <c r="C16" s="71">
        <f>Tabla1[[#This Row],[Cantidad]]*130</f>
        <v>1820</v>
      </c>
      <c r="D16" s="71" cm="1">
        <f t="array" ref="D16">IF(Tabla2[Medidas m2]&lt;40,14,IF((40&lt;Tabla2[Medidas m2]),21,""))</f>
        <v>14</v>
      </c>
      <c r="E16" s="71">
        <f>Tabla1[[#This Row],[Largo]]+Tabla1[[#This Row],[Ancho]]</f>
        <v>4620</v>
      </c>
    </row>
    <row r="18" spans="1:5">
      <c r="A18" s="126" t="s">
        <v>169</v>
      </c>
      <c r="B18" s="126"/>
      <c r="C18" s="126"/>
      <c r="D18" s="126"/>
      <c r="E18" s="126"/>
    </row>
    <row r="19" spans="1:5">
      <c r="A19" s="69" t="s">
        <v>57</v>
      </c>
      <c r="B19" s="69" t="s">
        <v>54</v>
      </c>
      <c r="C19" s="69" t="s">
        <v>55</v>
      </c>
      <c r="D19" s="69" t="s">
        <v>58</v>
      </c>
      <c r="E19" s="69" t="s">
        <v>64</v>
      </c>
    </row>
    <row r="20" spans="1:5">
      <c r="A20" s="69" t="s">
        <v>56</v>
      </c>
      <c r="B20">
        <f>ROUND((B17/2.5)+0.5,0)</f>
        <v>1</v>
      </c>
      <c r="C20" cm="1">
        <f t="array" ref="C20">Tabla2[Ancho m]</f>
        <v>3.9</v>
      </c>
      <c r="D20">
        <f>Tabla14[[#This Row],[Largo]]*Tabla14[[#This Row],[Ancho]]</f>
        <v>3.9</v>
      </c>
      <c r="E20">
        <f>ROUND(((Tabla14[[#This Row],[Cantidad]]/6)+0.5),0)</f>
        <v>1</v>
      </c>
    </row>
    <row r="21" spans="1:5">
      <c r="A21" s="69" t="s">
        <v>62</v>
      </c>
      <c r="B21" s="70" cm="1">
        <f t="array" ref="B21">Tabla2[Largo m]</f>
        <v>6</v>
      </c>
      <c r="C21" s="71">
        <f>ROUND((C17/0.6)+0.5,0)</f>
        <v>1</v>
      </c>
      <c r="D21" s="71">
        <f>Tabla14[[#This Row],[Largo]]*Tabla14[[#This Row],[Ancho]]</f>
        <v>6</v>
      </c>
      <c r="E21">
        <f>ROUND((D21/6)+0.5,0)</f>
        <v>2</v>
      </c>
    </row>
    <row r="22" spans="1:5">
      <c r="A22" s="69" t="s">
        <v>63</v>
      </c>
      <c r="B22">
        <f>ROUND((B17/0.8)+0.5,0)</f>
        <v>1</v>
      </c>
      <c r="C22" cm="1">
        <f t="array" ref="C22">Tabla2[Ancho m]</f>
        <v>3.9</v>
      </c>
      <c r="D22" s="71"/>
      <c r="E22">
        <f>ROUND((B22*Tabla14[[#This Row],[Ancho]])+0.5,0)</f>
        <v>4</v>
      </c>
    </row>
    <row r="23" spans="1:5">
      <c r="A23" s="69" t="s">
        <v>65</v>
      </c>
      <c r="B23" s="70" cm="1">
        <f t="array" ref="B23">(Tabla2[Largo m]/5.95)+0.1</f>
        <v>1.1084033613445379</v>
      </c>
      <c r="C23" s="71" cm="1">
        <f t="array" ref="C23">ROUND((Tabla2[Ancho m]/0.25)+0.5,0)</f>
        <v>16</v>
      </c>
      <c r="D23" s="71">
        <f>Tabla14[[#This Row],[Largo]]*Tabla14[[#This Row],[Ancho]]</f>
        <v>17.734453781512606</v>
      </c>
      <c r="E23">
        <f>ROUND(Tabla14[[#This Row],[Cantidad]]+0.5,0)</f>
        <v>18</v>
      </c>
    </row>
    <row r="24" spans="1:5">
      <c r="A24" s="69" t="s">
        <v>81</v>
      </c>
      <c r="B24">
        <f>B17</f>
        <v>0</v>
      </c>
      <c r="C24">
        <f>C17*2</f>
        <v>0</v>
      </c>
      <c r="D24">
        <f>ROUND((Tabla14[[#This Row],[Ancho]]+Tabla14[[#This Row],[Largo]])+0.5,0)</f>
        <v>1</v>
      </c>
      <c r="E24">
        <f>ROUND((Tabla14[[#This Row],[Cantidad]]/10)+0.5,0)</f>
        <v>1</v>
      </c>
    </row>
    <row r="25" spans="1:5">
      <c r="A25" s="69" t="s">
        <v>66</v>
      </c>
      <c r="B25" s="72"/>
      <c r="C25" s="72"/>
      <c r="E25">
        <f>B25+C25</f>
        <v>0</v>
      </c>
    </row>
    <row r="26" spans="1:5">
      <c r="A26" s="69" t="s">
        <v>67</v>
      </c>
      <c r="B26" s="70" cm="1">
        <f t="array" ref="B26">ROUND(((Tabla2[Largo m]/3)*2)+0.5,0)</f>
        <v>5</v>
      </c>
      <c r="C26" s="70" cm="1">
        <f t="array" ref="C26">ROUND(((Tabla2[Ancho m]/3)*2)+0.5,0)</f>
        <v>3</v>
      </c>
      <c r="D26" s="70">
        <f>Tabla14[[#This Row],[Largo]]+Tabla14[[#This Row],[Ancho]]</f>
        <v>8</v>
      </c>
      <c r="E26">
        <f>+Tabla14[[#This Row],[Cantidad]]</f>
        <v>8</v>
      </c>
    </row>
    <row r="27" spans="1:5">
      <c r="A27" s="69" t="s">
        <v>68</v>
      </c>
      <c r="B27">
        <f>D26*0.35</f>
        <v>2.8</v>
      </c>
      <c r="C27">
        <f>E25*0.6</f>
        <v>0</v>
      </c>
      <c r="D27">
        <f>ROUND((B27+C27)+0.5,0)</f>
        <v>3</v>
      </c>
      <c r="E27">
        <f>ROUND((D27/1.2)+0.5,0)</f>
        <v>3</v>
      </c>
    </row>
    <row r="28" spans="1:5">
      <c r="A28" s="69" t="s">
        <v>69</v>
      </c>
      <c r="B28" s="70" cm="1">
        <f t="array" ref="B28">Tabla2[Largo m]</f>
        <v>6</v>
      </c>
      <c r="C28">
        <f>ROUND((C17/0.4)+0.5,0)</f>
        <v>1</v>
      </c>
      <c r="D28" s="71">
        <f>C28*Tabla14[[#This Row],[Largo]]</f>
        <v>6</v>
      </c>
      <c r="E28">
        <f>ROUND((D28/6)+0.5,0)</f>
        <v>2</v>
      </c>
    </row>
    <row r="29" spans="1:5">
      <c r="A29" s="69" t="s">
        <v>70</v>
      </c>
      <c r="B29">
        <f>ROUND((B17+0.5),0)</f>
        <v>1</v>
      </c>
      <c r="C29">
        <f>ROUND((C17+0.5),0)</f>
        <v>1</v>
      </c>
      <c r="D29">
        <f>B29*C29</f>
        <v>1</v>
      </c>
      <c r="E29">
        <f>ROUND((D29/20)+0.5,0)</f>
        <v>1</v>
      </c>
    </row>
    <row r="30" spans="1:5">
      <c r="A30" s="69" t="s">
        <v>71</v>
      </c>
      <c r="B30">
        <f>B17*2</f>
        <v>0</v>
      </c>
      <c r="C30">
        <f>C17*2</f>
        <v>0</v>
      </c>
      <c r="D30">
        <f>B30+C30</f>
        <v>0</v>
      </c>
      <c r="E30">
        <f>ROUND((D30/6)+0.5,0)</f>
        <v>1</v>
      </c>
    </row>
    <row r="31" spans="1:5">
      <c r="A31" s="69" t="s">
        <v>87</v>
      </c>
      <c r="B31" s="72"/>
      <c r="C31" s="72"/>
      <c r="E31">
        <f>B31+C31</f>
        <v>0</v>
      </c>
    </row>
    <row r="32" spans="1:5">
      <c r="A32" s="69" t="s">
        <v>91</v>
      </c>
      <c r="B32" s="70" cm="1">
        <f t="array" ref="B32">Tabla2[Largo m]/5</f>
        <v>1.2</v>
      </c>
      <c r="C32" s="70" cm="1">
        <f t="array" ref="C32">Tabla2[Ancho m]/2.1</f>
        <v>1.857142857142857</v>
      </c>
      <c r="D32" s="70">
        <f>Tabla14[[#This Row],[Largo]]+Tabla14[[#This Row],[Ancho]]</f>
        <v>3.0571428571428569</v>
      </c>
      <c r="E32">
        <f>ROUND(Tabla14[[#This Row],[Cantidad]]+0.5,0)</f>
        <v>4</v>
      </c>
    </row>
    <row r="33" spans="1:5">
      <c r="A33" s="69" t="s">
        <v>155</v>
      </c>
    </row>
    <row r="34" spans="1:5">
      <c r="A34" s="69" t="s">
        <v>156</v>
      </c>
    </row>
    <row r="37" spans="1:5">
      <c r="A37" s="126" t="s">
        <v>170</v>
      </c>
      <c r="B37" s="126"/>
      <c r="C37" s="126"/>
      <c r="D37" s="126"/>
      <c r="E37" s="126"/>
    </row>
    <row r="38" spans="1:5">
      <c r="A38" s="69" t="s">
        <v>57</v>
      </c>
      <c r="B38" s="69" t="s">
        <v>54</v>
      </c>
      <c r="C38" s="69" t="s">
        <v>55</v>
      </c>
      <c r="D38" s="69" t="s">
        <v>58</v>
      </c>
      <c r="E38" s="69" t="s">
        <v>64</v>
      </c>
    </row>
    <row r="39" spans="1:5">
      <c r="A39" s="69" t="s">
        <v>56</v>
      </c>
      <c r="B39">
        <f>ROUND((B36/2.5)+0.5,0)</f>
        <v>1</v>
      </c>
      <c r="C39" cm="1">
        <f t="array" ref="C39">Tabla2[Ancho m]</f>
        <v>3.9</v>
      </c>
      <c r="D39">
        <f>Tabla145[[#This Row],[Largo]]*Tabla145[[#This Row],[Ancho]]</f>
        <v>3.9</v>
      </c>
      <c r="E39">
        <f>ROUND(((Tabla145[[#This Row],[Cantidad]]/6)+0.5),0)</f>
        <v>1</v>
      </c>
    </row>
    <row r="40" spans="1:5">
      <c r="A40" s="69" t="s">
        <v>62</v>
      </c>
      <c r="B40" s="70" cm="1">
        <f t="array" ref="B40">Tabla2[Largo m]</f>
        <v>6</v>
      </c>
      <c r="C40" s="71">
        <f>ROUND((C36/0.6)+0.5,0)</f>
        <v>1</v>
      </c>
      <c r="D40" s="71">
        <f>Tabla145[[#This Row],[Largo]]*Tabla145[[#This Row],[Ancho]]</f>
        <v>6</v>
      </c>
      <c r="E40">
        <f>ROUND((D40/6)+0.5,0)</f>
        <v>2</v>
      </c>
    </row>
    <row r="41" spans="1:5">
      <c r="A41" s="69" t="s">
        <v>63</v>
      </c>
      <c r="B41">
        <f>ROUND((B36/0.8)+0.5,0)</f>
        <v>1</v>
      </c>
      <c r="C41" cm="1">
        <f t="array" ref="C41">Tabla2[Ancho m]</f>
        <v>3.9</v>
      </c>
      <c r="D41" s="71"/>
      <c r="E41">
        <f>ROUND((B41*Tabla145[[#This Row],[Ancho]])+0.5,0)</f>
        <v>4</v>
      </c>
    </row>
    <row r="42" spans="1:5">
      <c r="A42" s="69" t="s">
        <v>65</v>
      </c>
      <c r="B42" s="70" cm="1">
        <f t="array" ref="B42">(Tabla2[Largo m]/5.95)+0.1</f>
        <v>1.1084033613445379</v>
      </c>
      <c r="C42" s="71" cm="1">
        <f t="array" ref="C42">ROUND((Tabla2[Ancho m]/0.25)+0.5,0)</f>
        <v>16</v>
      </c>
      <c r="D42" s="71">
        <f>Tabla145[[#This Row],[Largo]]*Tabla145[[#This Row],[Ancho]]</f>
        <v>17.734453781512606</v>
      </c>
      <c r="E42">
        <f>ROUND(Tabla145[[#This Row],[Cantidad]]+0.5,0)</f>
        <v>18</v>
      </c>
    </row>
    <row r="43" spans="1:5">
      <c r="A43" s="69" t="s">
        <v>81</v>
      </c>
      <c r="B43">
        <f>B36</f>
        <v>0</v>
      </c>
      <c r="C43">
        <f>C36*2</f>
        <v>0</v>
      </c>
      <c r="D43">
        <f>ROUND((Tabla145[[#This Row],[Ancho]]+Tabla145[[#This Row],[Largo]])+0.5,0)</f>
        <v>1</v>
      </c>
      <c r="E43">
        <f>ROUND((Tabla145[[#This Row],[Cantidad]]/10)+0.5,0)</f>
        <v>1</v>
      </c>
    </row>
    <row r="44" spans="1:5">
      <c r="A44" s="69" t="s">
        <v>66</v>
      </c>
      <c r="B44" s="72"/>
      <c r="C44" s="72"/>
      <c r="E44">
        <f>B44+C44</f>
        <v>0</v>
      </c>
    </row>
    <row r="45" spans="1:5">
      <c r="A45" s="69" t="s">
        <v>67</v>
      </c>
      <c r="B45" s="70" cm="1">
        <f t="array" ref="B45">ROUND(((Tabla2[Largo m]/3)*2)+0.5,0)</f>
        <v>5</v>
      </c>
      <c r="C45" s="70" cm="1">
        <f t="array" ref="C45">ROUND(((Tabla2[Ancho m]/3)*2)+0.5,0)</f>
        <v>3</v>
      </c>
      <c r="D45" s="70">
        <f>Tabla145[[#This Row],[Largo]]+Tabla145[[#This Row],[Ancho]]</f>
        <v>8</v>
      </c>
      <c r="E45">
        <f>+Tabla145[[#This Row],[Cantidad]]</f>
        <v>8</v>
      </c>
    </row>
    <row r="46" spans="1:5">
      <c r="A46" s="69" t="s">
        <v>68</v>
      </c>
      <c r="B46">
        <f>D45*0.35</f>
        <v>2.8</v>
      </c>
      <c r="C46">
        <f>E44*0.6</f>
        <v>0</v>
      </c>
      <c r="D46">
        <f>ROUND((B46+C46)+0.5,0)</f>
        <v>3</v>
      </c>
      <c r="E46">
        <f>ROUND((D46/1.2)+0.5,0)</f>
        <v>3</v>
      </c>
    </row>
    <row r="47" spans="1:5">
      <c r="A47" s="69" t="s">
        <v>69</v>
      </c>
      <c r="B47" s="70" cm="1">
        <f t="array" ref="B47">Tabla2[Largo m]</f>
        <v>6</v>
      </c>
      <c r="C47">
        <f>ROUND((C36/0.4)+0.5,0)</f>
        <v>1</v>
      </c>
      <c r="D47" s="71">
        <f>C47*Tabla145[[#This Row],[Largo]]</f>
        <v>6</v>
      </c>
      <c r="E47">
        <f>ROUND((D47/6)+0.5,0)</f>
        <v>2</v>
      </c>
    </row>
    <row r="48" spans="1:5">
      <c r="A48" s="69" t="s">
        <v>70</v>
      </c>
      <c r="B48">
        <f>ROUND((B36+0.5),0)</f>
        <v>1</v>
      </c>
      <c r="C48">
        <f>ROUND((C36+0.5),0)</f>
        <v>1</v>
      </c>
      <c r="D48">
        <f>B48*C48</f>
        <v>1</v>
      </c>
      <c r="E48">
        <f>ROUND((D48/20)+0.5,0)</f>
        <v>1</v>
      </c>
    </row>
    <row r="49" spans="1:5">
      <c r="A49" s="69" t="s">
        <v>71</v>
      </c>
      <c r="B49">
        <f>B36*2</f>
        <v>0</v>
      </c>
      <c r="C49">
        <f>C36*2</f>
        <v>0</v>
      </c>
      <c r="D49">
        <f>B49+C49</f>
        <v>0</v>
      </c>
      <c r="E49">
        <f>ROUND((D49/6)+0.5,0)</f>
        <v>1</v>
      </c>
    </row>
    <row r="50" spans="1:5">
      <c r="A50" s="69" t="s">
        <v>87</v>
      </c>
      <c r="B50" s="72"/>
      <c r="C50" s="72"/>
      <c r="E50">
        <f>B50+C50</f>
        <v>0</v>
      </c>
    </row>
    <row r="51" spans="1:5">
      <c r="A51" s="69" t="s">
        <v>91</v>
      </c>
      <c r="B51" s="70" cm="1">
        <f t="array" ref="B51">Tabla2[Largo m]/5</f>
        <v>1.2</v>
      </c>
      <c r="C51" s="70" cm="1">
        <f t="array" ref="C51">Tabla2[Ancho m]/2.1</f>
        <v>1.857142857142857</v>
      </c>
      <c r="D51" s="70">
        <f>Tabla145[[#This Row],[Largo]]+Tabla145[[#This Row],[Ancho]]</f>
        <v>3.0571428571428569</v>
      </c>
      <c r="E51">
        <f>ROUND(Tabla145[[#This Row],[Cantidad]]+0.5,0)</f>
        <v>4</v>
      </c>
    </row>
    <row r="52" spans="1:5">
      <c r="A52" s="69" t="s">
        <v>155</v>
      </c>
    </row>
    <row r="53" spans="1:5">
      <c r="A53" s="69" t="s">
        <v>156</v>
      </c>
    </row>
  </sheetData>
  <mergeCells count="3">
    <mergeCell ref="A1:E1"/>
    <mergeCell ref="A18:E18"/>
    <mergeCell ref="A37:E37"/>
  </mergeCells>
  <phoneticPr fontId="29" type="noConversion"/>
  <dataValidations disablePrompts="1" count="1">
    <dataValidation type="list" allowBlank="1" showInputMessage="1" showErrorMessage="1" errorTitle="Error" promptTitle="empotramiento trasero delantero" sqref="E3" xr:uid="{62AF5532-A631-B047-879A-348846231DC6}">
      <formula1>"muro,ambos"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12E6-0872-E14A-BB0E-5051F7368AEE}">
  <dimension ref="A1:K93"/>
  <sheetViews>
    <sheetView view="pageBreakPreview" topLeftCell="A52" zoomScale="150" zoomScaleNormal="100" zoomScaleSheetLayoutView="231" workbookViewId="0">
      <selection activeCell="D8" sqref="D8"/>
    </sheetView>
  </sheetViews>
  <sheetFormatPr baseColWidth="10" defaultRowHeight="13"/>
  <cols>
    <col min="1" max="1" width="5.5" customWidth="1"/>
    <col min="2" max="2" width="7.1640625" bestFit="1" customWidth="1"/>
    <col min="3" max="3" width="7.33203125" bestFit="1" customWidth="1"/>
    <col min="4" max="4" width="53.1640625" customWidth="1"/>
    <col min="5" max="5" width="13" bestFit="1" customWidth="1"/>
    <col min="6" max="6" width="12.6640625" bestFit="1" customWidth="1"/>
    <col min="7" max="7" width="6.6640625" customWidth="1"/>
    <col min="8" max="8" width="3.6640625" customWidth="1"/>
  </cols>
  <sheetData>
    <row r="1" spans="1:11" ht="14" thickBot="1">
      <c r="A1" s="102" t="s">
        <v>12</v>
      </c>
      <c r="B1" s="103"/>
      <c r="C1" s="103"/>
      <c r="D1" s="103"/>
      <c r="E1" s="103"/>
      <c r="F1" s="104"/>
      <c r="G1" s="9"/>
    </row>
    <row r="2" spans="1:11" ht="14" thickBot="1">
      <c r="A2" s="102">
        <v>1</v>
      </c>
      <c r="B2" s="103"/>
      <c r="C2" s="103"/>
      <c r="D2" s="103"/>
      <c r="E2" s="103"/>
      <c r="F2" s="104"/>
      <c r="G2" s="9"/>
    </row>
    <row r="3" spans="1:11" ht="14">
      <c r="A3" s="36">
        <f>A2+1</f>
        <v>2</v>
      </c>
      <c r="B3" s="37">
        <f>conteo!E6</f>
        <v>2</v>
      </c>
      <c r="C3" s="38" t="s">
        <v>11</v>
      </c>
      <c r="D3" s="64" t="s">
        <v>130</v>
      </c>
      <c r="E3" s="41">
        <v>269</v>
      </c>
      <c r="F3" s="121" t="s">
        <v>151</v>
      </c>
      <c r="G3" s="9"/>
      <c r="I3" s="67"/>
      <c r="J3" s="67"/>
      <c r="K3" s="67"/>
    </row>
    <row r="4" spans="1:11" ht="14">
      <c r="A4" s="36">
        <f>A3+1</f>
        <v>3</v>
      </c>
      <c r="B4" s="37">
        <f>conteo!E6</f>
        <v>2</v>
      </c>
      <c r="C4" s="38" t="s">
        <v>11</v>
      </c>
      <c r="D4" s="64" t="s">
        <v>50</v>
      </c>
      <c r="E4" s="41">
        <v>246</v>
      </c>
      <c r="F4" s="121"/>
      <c r="G4" s="9"/>
      <c r="I4" s="67"/>
      <c r="J4" s="67"/>
      <c r="K4" s="67"/>
    </row>
    <row r="5" spans="1:11" ht="14">
      <c r="A5" s="36">
        <f>A4+1</f>
        <v>4</v>
      </c>
      <c r="B5" s="37">
        <v>0</v>
      </c>
      <c r="C5" s="38" t="s">
        <v>11</v>
      </c>
      <c r="D5" s="64" t="s">
        <v>153</v>
      </c>
      <c r="E5" s="41">
        <v>214</v>
      </c>
      <c r="F5" s="121"/>
      <c r="G5" s="9"/>
    </row>
    <row r="6" spans="1:11" ht="14">
      <c r="A6" s="36">
        <f>A5+1</f>
        <v>5</v>
      </c>
      <c r="B6" s="37">
        <f>conteo!E6</f>
        <v>2</v>
      </c>
      <c r="C6" s="38" t="s">
        <v>11</v>
      </c>
      <c r="D6" s="64" t="s">
        <v>127</v>
      </c>
      <c r="E6" s="41">
        <v>129</v>
      </c>
      <c r="F6" s="40"/>
      <c r="G6" s="9"/>
    </row>
    <row r="7" spans="1:11" ht="14">
      <c r="A7" s="36">
        <f t="shared" ref="A7:A61" si="0">A6+1</f>
        <v>6</v>
      </c>
      <c r="B7" s="37">
        <v>0</v>
      </c>
      <c r="C7" s="38" t="s">
        <v>11</v>
      </c>
      <c r="D7" s="64" t="s">
        <v>152</v>
      </c>
      <c r="E7" s="41">
        <v>118</v>
      </c>
      <c r="F7" s="121"/>
      <c r="G7" s="9"/>
    </row>
    <row r="8" spans="1:11" ht="14">
      <c r="A8" s="36">
        <f t="shared" si="0"/>
        <v>7</v>
      </c>
      <c r="B8" s="37">
        <f>conteo!E7</f>
        <v>8</v>
      </c>
      <c r="C8" s="38" t="s">
        <v>11</v>
      </c>
      <c r="D8" s="64" t="s">
        <v>129</v>
      </c>
      <c r="E8" s="41">
        <v>118.5</v>
      </c>
      <c r="F8" s="121"/>
      <c r="G8" s="9"/>
    </row>
    <row r="9" spans="1:11" ht="14">
      <c r="A9" s="36">
        <f t="shared" si="0"/>
        <v>8</v>
      </c>
      <c r="B9" s="37">
        <f>conteo!E8</f>
        <v>31</v>
      </c>
      <c r="C9" s="38" t="s">
        <v>11</v>
      </c>
      <c r="D9" s="64" t="s">
        <v>128</v>
      </c>
      <c r="E9" s="41">
        <v>112.5</v>
      </c>
      <c r="F9" s="40"/>
      <c r="G9" s="9"/>
    </row>
    <row r="10" spans="1:11" ht="14">
      <c r="A10" s="36">
        <f t="shared" si="0"/>
        <v>9</v>
      </c>
      <c r="B10" s="37">
        <f>conteo!E11</f>
        <v>2</v>
      </c>
      <c r="C10" s="38" t="s">
        <v>11</v>
      </c>
      <c r="D10" s="64" t="s">
        <v>88</v>
      </c>
      <c r="E10" s="65">
        <v>536</v>
      </c>
      <c r="F10" s="40"/>
      <c r="G10" s="42"/>
      <c r="I10" s="67"/>
      <c r="J10" s="67"/>
      <c r="K10" s="67"/>
    </row>
    <row r="11" spans="1:11" ht="14">
      <c r="A11" s="36">
        <f t="shared" si="0"/>
        <v>10</v>
      </c>
      <c r="B11" s="37">
        <f>Tabla1[[#This Row],[Cantidad material]]</f>
        <v>2</v>
      </c>
      <c r="C11" s="38" t="s">
        <v>11</v>
      </c>
      <c r="D11" s="64" t="s">
        <v>89</v>
      </c>
      <c r="E11" s="65">
        <v>696</v>
      </c>
      <c r="F11" s="40"/>
      <c r="G11" s="42"/>
      <c r="I11" s="67"/>
      <c r="J11" s="67"/>
      <c r="K11" s="67"/>
    </row>
    <row r="12" spans="1:11" ht="14">
      <c r="A12" s="36">
        <f t="shared" si="0"/>
        <v>11</v>
      </c>
      <c r="B12" s="37">
        <f>conteo!D12</f>
        <v>19.8</v>
      </c>
      <c r="C12" s="38" t="s">
        <v>11</v>
      </c>
      <c r="D12" s="64" t="s">
        <v>86</v>
      </c>
      <c r="E12" s="65">
        <v>300</v>
      </c>
      <c r="F12" s="40"/>
      <c r="G12" s="42"/>
      <c r="I12" s="67"/>
      <c r="J12" s="67"/>
      <c r="K12" s="67"/>
    </row>
    <row r="13" spans="1:11" ht="14">
      <c r="A13" s="36">
        <f t="shared" si="0"/>
        <v>12</v>
      </c>
      <c r="B13" s="37" t="e">
        <f>conteo!#REF!</f>
        <v>#REF!</v>
      </c>
      <c r="C13" s="38" t="s">
        <v>11</v>
      </c>
      <c r="D13" s="64" t="s">
        <v>154</v>
      </c>
      <c r="E13" s="65">
        <v>140</v>
      </c>
      <c r="F13" s="121"/>
      <c r="G13" s="42"/>
      <c r="I13" s="67"/>
      <c r="J13" s="67"/>
      <c r="K13" s="67"/>
    </row>
    <row r="14" spans="1:11" ht="14">
      <c r="A14" s="36">
        <f>A12+1</f>
        <v>12</v>
      </c>
      <c r="B14" s="37">
        <v>0</v>
      </c>
      <c r="C14" s="38" t="s">
        <v>11</v>
      </c>
      <c r="D14" s="64" t="s">
        <v>123</v>
      </c>
      <c r="E14" s="41">
        <v>740</v>
      </c>
      <c r="F14" s="40"/>
      <c r="G14" s="9"/>
      <c r="I14" s="67"/>
      <c r="J14" s="67"/>
      <c r="K14" s="67"/>
    </row>
    <row r="15" spans="1:11" ht="14">
      <c r="A15" s="36">
        <f t="shared" si="0"/>
        <v>13</v>
      </c>
      <c r="B15" s="37">
        <v>0</v>
      </c>
      <c r="C15" s="38" t="s">
        <v>11</v>
      </c>
      <c r="D15" s="64" t="s">
        <v>124</v>
      </c>
      <c r="E15" s="41">
        <v>630</v>
      </c>
      <c r="F15" s="40"/>
      <c r="G15" s="9"/>
      <c r="I15" s="67"/>
      <c r="J15" s="67"/>
      <c r="K15" s="67"/>
    </row>
    <row r="16" spans="1:11" ht="14">
      <c r="A16" s="36">
        <f t="shared" si="0"/>
        <v>14</v>
      </c>
      <c r="B16" s="37">
        <v>0</v>
      </c>
      <c r="C16" s="38" t="s">
        <v>11</v>
      </c>
      <c r="D16" s="64" t="s">
        <v>125</v>
      </c>
      <c r="E16" s="41">
        <v>660</v>
      </c>
      <c r="F16" s="40"/>
      <c r="G16" s="9"/>
      <c r="I16" s="67"/>
      <c r="J16" s="67"/>
      <c r="K16" s="67"/>
    </row>
    <row r="17" spans="1:11" ht="14">
      <c r="A17" s="36">
        <f>A18+1</f>
        <v>16</v>
      </c>
      <c r="B17" s="37">
        <v>0</v>
      </c>
      <c r="C17" s="38" t="s">
        <v>11</v>
      </c>
      <c r="D17" s="64" t="s">
        <v>126</v>
      </c>
      <c r="E17" s="41">
        <v>590</v>
      </c>
      <c r="F17" s="40"/>
      <c r="G17" s="9"/>
      <c r="I17" s="67"/>
      <c r="J17" s="67"/>
      <c r="K17" s="67"/>
    </row>
    <row r="18" spans="1:11" ht="14">
      <c r="A18" s="36">
        <f>A16+1</f>
        <v>15</v>
      </c>
      <c r="B18" s="37">
        <v>0</v>
      </c>
      <c r="C18" s="38" t="s">
        <v>11</v>
      </c>
      <c r="D18" s="64" t="s">
        <v>145</v>
      </c>
      <c r="E18" s="41">
        <v>1450</v>
      </c>
      <c r="F18" s="40"/>
      <c r="G18" s="9"/>
      <c r="I18" s="67"/>
      <c r="J18" s="67"/>
      <c r="K18" s="67"/>
    </row>
    <row r="19" spans="1:11" ht="14">
      <c r="A19" s="36">
        <f>A17+1</f>
        <v>17</v>
      </c>
      <c r="B19" s="37">
        <v>0</v>
      </c>
      <c r="C19" s="38" t="s">
        <v>11</v>
      </c>
      <c r="D19" s="64" t="s">
        <v>146</v>
      </c>
      <c r="E19" s="41">
        <v>956</v>
      </c>
      <c r="F19" s="40"/>
      <c r="G19" s="9"/>
      <c r="I19" s="67"/>
      <c r="J19" s="67"/>
      <c r="K19" s="67"/>
    </row>
    <row r="20" spans="1:11" ht="14">
      <c r="A20" s="36">
        <f>A18+1</f>
        <v>16</v>
      </c>
      <c r="B20" s="37">
        <v>0</v>
      </c>
      <c r="C20" s="38" t="s">
        <v>11</v>
      </c>
      <c r="D20" s="64" t="s">
        <v>92</v>
      </c>
      <c r="E20" s="41">
        <v>797</v>
      </c>
      <c r="F20" s="40"/>
      <c r="G20" s="9"/>
      <c r="I20" s="67"/>
      <c r="J20" s="67"/>
      <c r="K20" s="67"/>
    </row>
    <row r="21" spans="1:11" ht="14">
      <c r="A21" s="36">
        <f t="shared" si="0"/>
        <v>17</v>
      </c>
      <c r="B21" s="37">
        <v>0</v>
      </c>
      <c r="C21" s="38" t="s">
        <v>11</v>
      </c>
      <c r="D21" s="64" t="s">
        <v>51</v>
      </c>
      <c r="E21" s="41">
        <v>524</v>
      </c>
      <c r="F21" s="121"/>
      <c r="G21" s="9"/>
      <c r="I21" s="67"/>
      <c r="J21" s="67"/>
      <c r="K21" s="67"/>
    </row>
    <row r="22" spans="1:11" ht="14">
      <c r="A22" s="36">
        <f t="shared" si="0"/>
        <v>18</v>
      </c>
      <c r="B22" s="37">
        <v>0</v>
      </c>
      <c r="C22" s="38" t="s">
        <v>11</v>
      </c>
      <c r="D22" s="64" t="s">
        <v>122</v>
      </c>
      <c r="E22" s="41">
        <v>407</v>
      </c>
      <c r="F22" s="40"/>
      <c r="G22" s="9"/>
      <c r="I22" s="67"/>
      <c r="J22" s="67"/>
      <c r="K22" s="67"/>
    </row>
    <row r="23" spans="1:11" ht="14">
      <c r="A23" s="36">
        <f t="shared" si="0"/>
        <v>19</v>
      </c>
      <c r="B23" s="37">
        <v>0</v>
      </c>
      <c r="C23" s="38" t="s">
        <v>11</v>
      </c>
      <c r="D23" s="64" t="s">
        <v>96</v>
      </c>
      <c r="E23" s="41">
        <v>429.5</v>
      </c>
      <c r="F23" s="121"/>
      <c r="G23" s="9"/>
      <c r="I23" s="67"/>
      <c r="J23" s="67"/>
      <c r="K23" s="67"/>
    </row>
    <row r="24" spans="1:11" ht="14">
      <c r="A24" s="36">
        <f t="shared" si="0"/>
        <v>20</v>
      </c>
      <c r="B24" s="37">
        <v>0</v>
      </c>
      <c r="C24" s="38" t="s">
        <v>11</v>
      </c>
      <c r="D24" s="64" t="s">
        <v>120</v>
      </c>
      <c r="E24" s="41">
        <v>400.5</v>
      </c>
      <c r="F24" s="40"/>
      <c r="G24" s="9"/>
      <c r="I24" s="67"/>
      <c r="J24" s="67"/>
      <c r="K24" s="67"/>
    </row>
    <row r="25" spans="1:11" ht="14">
      <c r="A25" s="36">
        <f t="shared" si="0"/>
        <v>21</v>
      </c>
      <c r="B25" s="37">
        <v>0</v>
      </c>
      <c r="C25" s="38" t="s">
        <v>11</v>
      </c>
      <c r="D25" s="64" t="s">
        <v>93</v>
      </c>
      <c r="E25" s="41">
        <v>495</v>
      </c>
      <c r="F25" s="40"/>
      <c r="G25" s="9"/>
      <c r="I25" s="67"/>
      <c r="J25" s="67"/>
      <c r="K25" s="67"/>
    </row>
    <row r="26" spans="1:11" ht="14">
      <c r="A26" s="36">
        <f t="shared" si="0"/>
        <v>22</v>
      </c>
      <c r="B26" s="37">
        <v>0</v>
      </c>
      <c r="C26" s="38" t="s">
        <v>11</v>
      </c>
      <c r="D26" s="64" t="s">
        <v>95</v>
      </c>
      <c r="E26" s="41">
        <v>201.5</v>
      </c>
      <c r="F26" s="121"/>
      <c r="G26" s="9"/>
      <c r="I26" s="67"/>
      <c r="J26" s="67"/>
      <c r="K26" s="67"/>
    </row>
    <row r="27" spans="1:11" ht="14">
      <c r="A27" s="36">
        <f t="shared" si="0"/>
        <v>23</v>
      </c>
      <c r="B27" s="37">
        <v>0</v>
      </c>
      <c r="C27" s="38" t="s">
        <v>11</v>
      </c>
      <c r="D27" s="64" t="s">
        <v>98</v>
      </c>
      <c r="E27" s="41">
        <v>196</v>
      </c>
      <c r="F27" s="40"/>
      <c r="G27" s="9"/>
      <c r="I27" s="67"/>
      <c r="J27" s="67"/>
      <c r="K27" s="67"/>
    </row>
    <row r="28" spans="1:11" ht="14">
      <c r="A28" s="36">
        <f t="shared" si="0"/>
        <v>24</v>
      </c>
      <c r="B28" s="37">
        <v>0</v>
      </c>
      <c r="C28" s="38" t="s">
        <v>11</v>
      </c>
      <c r="D28" s="64" t="s">
        <v>97</v>
      </c>
      <c r="E28" s="41">
        <v>153</v>
      </c>
      <c r="F28" s="40"/>
      <c r="G28" s="9"/>
      <c r="I28" s="67"/>
      <c r="J28" s="67"/>
      <c r="K28" s="67"/>
    </row>
    <row r="29" spans="1:11" ht="14">
      <c r="A29" s="36">
        <f t="shared" si="0"/>
        <v>25</v>
      </c>
      <c r="B29" s="37">
        <v>0</v>
      </c>
      <c r="C29" s="38" t="s">
        <v>11</v>
      </c>
      <c r="D29" s="64" t="s">
        <v>119</v>
      </c>
      <c r="E29" s="41">
        <v>228.5</v>
      </c>
      <c r="F29" s="40"/>
      <c r="G29" s="9"/>
      <c r="I29" s="67"/>
      <c r="J29" s="67"/>
      <c r="K29" s="67"/>
    </row>
    <row r="30" spans="1:11" ht="14">
      <c r="A30" s="36">
        <f t="shared" si="0"/>
        <v>26</v>
      </c>
      <c r="B30" s="37">
        <v>0</v>
      </c>
      <c r="C30" s="38" t="s">
        <v>11</v>
      </c>
      <c r="D30" s="64" t="s">
        <v>118</v>
      </c>
      <c r="E30" s="41">
        <v>208</v>
      </c>
      <c r="F30" s="40"/>
      <c r="G30" s="9"/>
      <c r="I30" s="67"/>
      <c r="J30" s="67"/>
      <c r="K30" s="67"/>
    </row>
    <row r="31" spans="1:11" ht="14">
      <c r="A31" s="36">
        <f t="shared" si="0"/>
        <v>27</v>
      </c>
      <c r="B31" s="37">
        <v>0</v>
      </c>
      <c r="C31" s="38" t="s">
        <v>11</v>
      </c>
      <c r="D31" s="64" t="s">
        <v>114</v>
      </c>
      <c r="E31" s="41">
        <v>162</v>
      </c>
      <c r="F31" s="40"/>
      <c r="G31" s="9"/>
      <c r="I31" s="67"/>
      <c r="J31" s="67"/>
      <c r="K31" s="67"/>
    </row>
    <row r="32" spans="1:11" ht="14">
      <c r="A32" s="36">
        <f t="shared" si="0"/>
        <v>28</v>
      </c>
      <c r="B32" s="37">
        <v>0</v>
      </c>
      <c r="C32" s="38" t="s">
        <v>11</v>
      </c>
      <c r="D32" s="64" t="s">
        <v>85</v>
      </c>
      <c r="E32" s="41">
        <v>221</v>
      </c>
      <c r="F32" s="121"/>
      <c r="G32" s="9"/>
      <c r="I32" s="67"/>
      <c r="J32" s="67"/>
      <c r="K32" s="67"/>
    </row>
    <row r="33" spans="1:11" ht="14">
      <c r="A33" s="36">
        <f t="shared" si="0"/>
        <v>29</v>
      </c>
      <c r="B33" s="37">
        <v>0</v>
      </c>
      <c r="C33" s="38" t="s">
        <v>11</v>
      </c>
      <c r="D33" s="64" t="s">
        <v>121</v>
      </c>
      <c r="E33" s="41">
        <v>183</v>
      </c>
      <c r="F33" s="40"/>
      <c r="G33" s="9"/>
      <c r="I33" s="67"/>
      <c r="J33" s="67"/>
      <c r="K33" s="67"/>
    </row>
    <row r="34" spans="1:11" ht="14">
      <c r="A34" s="36">
        <f t="shared" si="0"/>
        <v>30</v>
      </c>
      <c r="B34" s="37">
        <v>0</v>
      </c>
      <c r="C34" s="38" t="s">
        <v>11</v>
      </c>
      <c r="D34" s="64" t="s">
        <v>101</v>
      </c>
      <c r="E34" s="41">
        <v>160</v>
      </c>
      <c r="F34" s="40"/>
      <c r="G34" s="9"/>
      <c r="I34" s="67"/>
      <c r="J34" s="67"/>
      <c r="K34" s="67"/>
    </row>
    <row r="35" spans="1:11" ht="14">
      <c r="A35" s="36">
        <f t="shared" si="0"/>
        <v>31</v>
      </c>
      <c r="B35" s="37">
        <v>0</v>
      </c>
      <c r="C35" s="38" t="s">
        <v>11</v>
      </c>
      <c r="D35" s="64" t="s">
        <v>100</v>
      </c>
      <c r="E35" s="41">
        <v>132</v>
      </c>
      <c r="F35" s="40"/>
      <c r="G35" s="9"/>
      <c r="I35" s="67"/>
      <c r="J35" s="67"/>
      <c r="K35" s="67"/>
    </row>
    <row r="36" spans="1:11" ht="14">
      <c r="A36" s="36">
        <f t="shared" si="0"/>
        <v>32</v>
      </c>
      <c r="B36" s="37">
        <v>0</v>
      </c>
      <c r="C36" s="38" t="s">
        <v>11</v>
      </c>
      <c r="D36" s="64" t="s">
        <v>99</v>
      </c>
      <c r="E36" s="41">
        <v>98</v>
      </c>
      <c r="F36" s="40"/>
      <c r="G36" s="9"/>
      <c r="I36" s="67"/>
      <c r="J36" s="67"/>
      <c r="K36" s="67"/>
    </row>
    <row r="37" spans="1:11" ht="14">
      <c r="A37" s="36">
        <f t="shared" si="0"/>
        <v>33</v>
      </c>
      <c r="B37" s="37">
        <v>0</v>
      </c>
      <c r="C37" s="38" t="s">
        <v>11</v>
      </c>
      <c r="D37" s="64" t="s">
        <v>52</v>
      </c>
      <c r="E37" s="41">
        <v>69</v>
      </c>
      <c r="F37" s="40"/>
      <c r="G37" s="9"/>
      <c r="I37" s="67"/>
      <c r="J37" s="67"/>
      <c r="K37" s="67"/>
    </row>
    <row r="38" spans="1:11" ht="14">
      <c r="A38" s="36">
        <f t="shared" si="0"/>
        <v>34</v>
      </c>
      <c r="B38" s="37">
        <v>0</v>
      </c>
      <c r="C38" s="38" t="s">
        <v>11</v>
      </c>
      <c r="D38" s="64" t="s">
        <v>94</v>
      </c>
      <c r="E38" s="41">
        <v>177</v>
      </c>
      <c r="F38" s="121"/>
      <c r="G38" s="9"/>
      <c r="I38" s="67"/>
      <c r="J38" s="67"/>
      <c r="K38" s="67"/>
    </row>
    <row r="39" spans="1:11" ht="14">
      <c r="A39" s="36">
        <f t="shared" si="0"/>
        <v>35</v>
      </c>
      <c r="B39" s="37">
        <v>0</v>
      </c>
      <c r="C39" s="38" t="s">
        <v>11</v>
      </c>
      <c r="D39" s="64" t="s">
        <v>113</v>
      </c>
      <c r="E39" s="41">
        <v>240</v>
      </c>
      <c r="F39" s="40"/>
      <c r="G39" s="9"/>
      <c r="I39" s="67"/>
      <c r="J39" s="67"/>
      <c r="K39" s="67"/>
    </row>
    <row r="40" spans="1:11" ht="14">
      <c r="A40" s="36">
        <f t="shared" si="0"/>
        <v>36</v>
      </c>
      <c r="B40" s="37">
        <v>0</v>
      </c>
      <c r="C40" s="38" t="s">
        <v>11</v>
      </c>
      <c r="D40" s="64" t="s">
        <v>112</v>
      </c>
      <c r="E40" s="41">
        <v>190</v>
      </c>
      <c r="F40" s="40"/>
      <c r="G40" s="9"/>
      <c r="I40" s="67"/>
      <c r="J40" s="67"/>
      <c r="K40" s="67"/>
    </row>
    <row r="41" spans="1:11" ht="14">
      <c r="A41" s="36">
        <f t="shared" si="0"/>
        <v>37</v>
      </c>
      <c r="B41" s="37">
        <v>0</v>
      </c>
      <c r="C41" s="38" t="s">
        <v>11</v>
      </c>
      <c r="D41" s="64" t="s">
        <v>111</v>
      </c>
      <c r="E41" s="41">
        <v>135</v>
      </c>
      <c r="F41" s="40"/>
      <c r="G41" s="9"/>
      <c r="I41" s="67"/>
      <c r="J41" s="67"/>
      <c r="K41" s="67"/>
    </row>
    <row r="42" spans="1:11" ht="14">
      <c r="A42" s="36">
        <f t="shared" si="0"/>
        <v>38</v>
      </c>
      <c r="B42" s="37">
        <v>0</v>
      </c>
      <c r="C42" s="38" t="s">
        <v>11</v>
      </c>
      <c r="D42" s="64" t="s">
        <v>110</v>
      </c>
      <c r="E42" s="41">
        <v>148</v>
      </c>
      <c r="F42" s="40"/>
      <c r="G42" s="9"/>
      <c r="I42" s="67"/>
      <c r="J42" s="67"/>
      <c r="K42" s="67"/>
    </row>
    <row r="43" spans="1:11" ht="14">
      <c r="A43" s="36">
        <f t="shared" si="0"/>
        <v>39</v>
      </c>
      <c r="B43" s="37">
        <v>0</v>
      </c>
      <c r="C43" s="38" t="s">
        <v>11</v>
      </c>
      <c r="D43" s="64" t="s">
        <v>108</v>
      </c>
      <c r="E43" s="41">
        <v>114</v>
      </c>
      <c r="F43" s="40"/>
      <c r="G43" s="9"/>
      <c r="I43" s="67"/>
      <c r="J43" s="67"/>
      <c r="K43" s="67"/>
    </row>
    <row r="44" spans="1:11" ht="14">
      <c r="A44" s="36">
        <f t="shared" si="0"/>
        <v>40</v>
      </c>
      <c r="B44" s="37">
        <v>0</v>
      </c>
      <c r="C44" s="38" t="s">
        <v>11</v>
      </c>
      <c r="D44" s="64" t="s">
        <v>107</v>
      </c>
      <c r="E44" s="41">
        <v>83.5</v>
      </c>
      <c r="F44" s="40"/>
      <c r="G44" s="9"/>
      <c r="I44" s="67"/>
      <c r="J44" s="67"/>
      <c r="K44" s="67"/>
    </row>
    <row r="45" spans="1:11" ht="14">
      <c r="A45" s="36">
        <f t="shared" si="0"/>
        <v>41</v>
      </c>
      <c r="B45" s="37">
        <v>0</v>
      </c>
      <c r="C45" s="38" t="s">
        <v>11</v>
      </c>
      <c r="D45" s="64" t="s">
        <v>109</v>
      </c>
      <c r="E45" s="41">
        <v>65.5</v>
      </c>
      <c r="F45" s="40"/>
      <c r="G45" s="9"/>
      <c r="I45" s="67"/>
      <c r="J45" s="67"/>
      <c r="K45" s="67"/>
    </row>
    <row r="46" spans="1:11" ht="14">
      <c r="A46" s="36">
        <f t="shared" si="0"/>
        <v>42</v>
      </c>
      <c r="B46" s="37">
        <v>0</v>
      </c>
      <c r="C46" s="38" t="s">
        <v>11</v>
      </c>
      <c r="D46" s="64" t="s">
        <v>105</v>
      </c>
      <c r="E46" s="41">
        <v>51</v>
      </c>
      <c r="F46" s="40"/>
      <c r="G46" s="9"/>
      <c r="I46" s="67"/>
      <c r="J46" s="67"/>
      <c r="K46" s="67"/>
    </row>
    <row r="47" spans="1:11" ht="14">
      <c r="A47" s="36">
        <f t="shared" si="0"/>
        <v>43</v>
      </c>
      <c r="B47" s="37">
        <v>0</v>
      </c>
      <c r="C47" s="38" t="s">
        <v>11</v>
      </c>
      <c r="D47" s="64" t="s">
        <v>106</v>
      </c>
      <c r="E47" s="41">
        <v>139</v>
      </c>
      <c r="F47" s="40"/>
      <c r="G47" s="9"/>
      <c r="I47" s="67"/>
      <c r="J47" s="67"/>
      <c r="K47" s="67"/>
    </row>
    <row r="48" spans="1:11" ht="14">
      <c r="A48" s="36">
        <f t="shared" si="0"/>
        <v>44</v>
      </c>
      <c r="B48" s="37">
        <v>0</v>
      </c>
      <c r="C48" s="38" t="s">
        <v>11</v>
      </c>
      <c r="D48" s="64" t="s">
        <v>117</v>
      </c>
      <c r="E48" s="41">
        <v>52</v>
      </c>
      <c r="F48" s="40"/>
      <c r="G48" s="9"/>
      <c r="I48" s="67"/>
      <c r="J48" s="67"/>
      <c r="K48" s="67"/>
    </row>
    <row r="49" spans="1:11" ht="14">
      <c r="A49" s="36">
        <f t="shared" si="0"/>
        <v>45</v>
      </c>
      <c r="B49" s="37">
        <v>0</v>
      </c>
      <c r="C49" s="38" t="s">
        <v>11</v>
      </c>
      <c r="D49" s="64" t="s">
        <v>116</v>
      </c>
      <c r="E49" s="41">
        <v>101</v>
      </c>
      <c r="F49" s="40"/>
      <c r="G49" s="9"/>
      <c r="I49" s="67"/>
      <c r="J49" s="67"/>
      <c r="K49" s="67"/>
    </row>
    <row r="50" spans="1:11" ht="14">
      <c r="A50" s="36">
        <f t="shared" si="0"/>
        <v>46</v>
      </c>
      <c r="B50" s="37">
        <f>conteo!E8</f>
        <v>31</v>
      </c>
      <c r="C50" s="38" t="s">
        <v>48</v>
      </c>
      <c r="D50" s="64" t="s">
        <v>47</v>
      </c>
      <c r="E50" s="41">
        <v>62.7</v>
      </c>
      <c r="F50" s="40"/>
      <c r="G50" s="9"/>
      <c r="I50" s="67"/>
      <c r="J50" s="67"/>
      <c r="K50" s="67"/>
    </row>
    <row r="51" spans="1:11" ht="14">
      <c r="A51" s="36">
        <f t="shared" si="0"/>
        <v>47</v>
      </c>
      <c r="B51" s="37">
        <v>0</v>
      </c>
      <c r="C51" s="38" t="s">
        <v>11</v>
      </c>
      <c r="D51" s="64" t="s">
        <v>147</v>
      </c>
      <c r="E51" s="41">
        <v>131</v>
      </c>
      <c r="F51" s="40"/>
      <c r="G51" s="9"/>
      <c r="I51" s="67"/>
      <c r="J51" s="67"/>
      <c r="K51" s="67"/>
    </row>
    <row r="52" spans="1:11" ht="14">
      <c r="A52" s="36">
        <f t="shared" si="0"/>
        <v>48</v>
      </c>
      <c r="B52" s="37">
        <v>0</v>
      </c>
      <c r="C52" s="38" t="s">
        <v>11</v>
      </c>
      <c r="D52" s="64" t="s">
        <v>148</v>
      </c>
      <c r="E52" s="41">
        <v>152</v>
      </c>
      <c r="F52" s="40"/>
      <c r="G52" s="9"/>
      <c r="I52" s="67"/>
      <c r="J52" s="67"/>
      <c r="K52" s="67"/>
    </row>
    <row r="53" spans="1:11" ht="14">
      <c r="A53" s="36">
        <f t="shared" si="0"/>
        <v>49</v>
      </c>
      <c r="B53" s="37">
        <f>conteo!E11</f>
        <v>2</v>
      </c>
      <c r="C53" s="38" t="s">
        <v>11</v>
      </c>
      <c r="D53" s="64" t="s">
        <v>149</v>
      </c>
      <c r="E53" s="41">
        <v>315</v>
      </c>
      <c r="F53" s="40"/>
      <c r="G53" s="9"/>
      <c r="I53" s="67"/>
      <c r="J53" s="67"/>
      <c r="K53" s="67"/>
    </row>
    <row r="54" spans="1:11" ht="14">
      <c r="A54" s="36">
        <f>A50+1</f>
        <v>47</v>
      </c>
      <c r="B54" s="37">
        <f>conteo!E16</f>
        <v>4620</v>
      </c>
      <c r="C54" s="38" t="s">
        <v>11</v>
      </c>
      <c r="D54" s="64" t="s">
        <v>90</v>
      </c>
      <c r="E54" s="41">
        <v>1505</v>
      </c>
      <c r="F54" s="40"/>
      <c r="G54" s="9"/>
      <c r="I54" s="67"/>
      <c r="J54" s="67"/>
      <c r="K54" s="67"/>
    </row>
    <row r="55" spans="1:11" ht="14">
      <c r="A55" s="36">
        <f t="shared" ref="A55" si="1">A50+1</f>
        <v>47</v>
      </c>
      <c r="B55" s="37">
        <v>0</v>
      </c>
      <c r="C55" s="38" t="s">
        <v>11</v>
      </c>
      <c r="D55" s="64" t="s">
        <v>134</v>
      </c>
      <c r="E55" s="41">
        <v>2029</v>
      </c>
      <c r="F55" s="40"/>
      <c r="G55" s="9"/>
      <c r="I55" s="67"/>
      <c r="J55" s="67"/>
      <c r="K55" s="67"/>
    </row>
    <row r="56" spans="1:11" ht="14">
      <c r="A56" s="36">
        <f t="shared" ref="A56" si="2">A54+1</f>
        <v>48</v>
      </c>
      <c r="B56" s="37">
        <f>conteo!E17</f>
        <v>0</v>
      </c>
      <c r="C56" s="38" t="s">
        <v>11</v>
      </c>
      <c r="D56" s="64" t="s">
        <v>131</v>
      </c>
      <c r="E56" s="41">
        <v>1521.89</v>
      </c>
      <c r="F56" s="40"/>
      <c r="G56" s="9"/>
      <c r="I56" s="67"/>
      <c r="J56" s="67"/>
      <c r="K56" s="67"/>
    </row>
    <row r="57" spans="1:11" ht="14">
      <c r="A57" s="36">
        <f t="shared" ref="A57:A58" si="3">A56+1</f>
        <v>49</v>
      </c>
      <c r="B57" s="37">
        <f>B54</f>
        <v>4620</v>
      </c>
      <c r="C57" s="38" t="s">
        <v>11</v>
      </c>
      <c r="D57" s="64" t="s">
        <v>132</v>
      </c>
      <c r="E57" s="41">
        <v>6020.43</v>
      </c>
      <c r="F57" s="40"/>
      <c r="G57" s="9"/>
      <c r="I57" s="67"/>
      <c r="J57" s="67"/>
      <c r="K57" s="67"/>
    </row>
    <row r="58" spans="1:11" ht="14">
      <c r="A58" s="36">
        <f t="shared" si="3"/>
        <v>50</v>
      </c>
      <c r="B58" s="37" t="str">
        <f>conteo!E19</f>
        <v>Cantidad material</v>
      </c>
      <c r="C58" s="38" t="s">
        <v>11</v>
      </c>
      <c r="D58" s="64" t="s">
        <v>133</v>
      </c>
      <c r="E58" s="41">
        <v>2642.28</v>
      </c>
      <c r="F58" s="40"/>
      <c r="G58" s="9"/>
      <c r="I58" s="67"/>
      <c r="J58" s="67"/>
      <c r="K58" s="67"/>
    </row>
    <row r="59" spans="1:11" ht="14">
      <c r="A59" s="36">
        <f>A54+1</f>
        <v>48</v>
      </c>
      <c r="B59" s="37">
        <f>12*B50</f>
        <v>372</v>
      </c>
      <c r="C59" s="38" t="s">
        <v>11</v>
      </c>
      <c r="D59" s="64" t="s">
        <v>29</v>
      </c>
      <c r="E59" s="41"/>
      <c r="F59" s="40"/>
      <c r="G59" s="9"/>
      <c r="H59" s="66"/>
      <c r="I59" s="68"/>
      <c r="J59" s="68"/>
      <c r="K59" s="68"/>
    </row>
    <row r="60" spans="1:11" ht="14">
      <c r="A60" s="36">
        <f t="shared" si="0"/>
        <v>49</v>
      </c>
      <c r="B60" s="37">
        <f>conteo!E10</f>
        <v>2</v>
      </c>
      <c r="C60" s="38" t="s">
        <v>13</v>
      </c>
      <c r="D60" s="64" t="s">
        <v>82</v>
      </c>
      <c r="E60" s="41">
        <v>190</v>
      </c>
      <c r="F60" s="40"/>
      <c r="G60" s="9"/>
      <c r="H60" s="66"/>
      <c r="I60" s="66"/>
      <c r="J60" s="66"/>
      <c r="K60" s="66"/>
    </row>
    <row r="61" spans="1:11" ht="14">
      <c r="A61" s="36">
        <f t="shared" si="0"/>
        <v>50</v>
      </c>
      <c r="B61" s="37" cm="1">
        <f t="array" ref="B61">ROUND((Tabla2[Medidas m2]/50)+0.5,0)</f>
        <v>1</v>
      </c>
      <c r="C61" s="38" t="s">
        <v>11</v>
      </c>
      <c r="D61" s="64" t="s">
        <v>140</v>
      </c>
      <c r="E61" s="41">
        <v>180</v>
      </c>
      <c r="F61" s="40"/>
      <c r="G61" s="9"/>
      <c r="H61" s="66"/>
      <c r="I61" s="66"/>
      <c r="J61" s="66"/>
      <c r="K61" s="66"/>
    </row>
    <row r="62" spans="1:11" ht="15" thickBot="1">
      <c r="A62" s="36">
        <f t="shared" ref="A62" si="4">A61+1</f>
        <v>51</v>
      </c>
      <c r="B62" s="37">
        <v>2</v>
      </c>
      <c r="C62" s="38" t="s">
        <v>13</v>
      </c>
      <c r="D62" s="64" t="s">
        <v>139</v>
      </c>
      <c r="E62" s="41">
        <v>5</v>
      </c>
      <c r="F62" s="40"/>
      <c r="G62" s="9"/>
      <c r="H62" s="66"/>
      <c r="I62" s="66"/>
      <c r="J62" s="66"/>
      <c r="K62" s="66"/>
    </row>
    <row r="63" spans="1:11" ht="14" thickBot="1">
      <c r="A63" s="102" t="s">
        <v>31</v>
      </c>
      <c r="B63" s="103"/>
      <c r="C63" s="103"/>
      <c r="D63" s="103"/>
      <c r="E63" s="103"/>
      <c r="F63" s="104"/>
      <c r="G63" s="9"/>
    </row>
    <row r="64" spans="1:11" ht="12" customHeight="1">
      <c r="A64" s="36">
        <f>A62+1</f>
        <v>52</v>
      </c>
      <c r="B64" s="37" cm="1">
        <f t="array" ref="B64">ROUND(Tabla2[Largo m],0)</f>
        <v>6</v>
      </c>
      <c r="C64" s="38" t="s">
        <v>13</v>
      </c>
      <c r="D64" s="64" t="s">
        <v>141</v>
      </c>
      <c r="E64" s="65">
        <v>180</v>
      </c>
      <c r="F64" s="40"/>
      <c r="G64" s="9"/>
    </row>
    <row r="65" spans="1:11" ht="12" customHeight="1">
      <c r="A65" s="36">
        <f>A64+1</f>
        <v>53</v>
      </c>
      <c r="B65" s="37">
        <f>ROUND(conteo!B3,0)</f>
        <v>6</v>
      </c>
      <c r="C65" s="38" t="s">
        <v>13</v>
      </c>
      <c r="D65" s="64" t="s">
        <v>41</v>
      </c>
      <c r="E65" s="65">
        <v>140</v>
      </c>
      <c r="F65" s="40"/>
      <c r="G65" s="9"/>
    </row>
    <row r="66" spans="1:11" ht="12" customHeight="1">
      <c r="A66" s="36">
        <f>A65+1</f>
        <v>54</v>
      </c>
      <c r="B66" s="37">
        <f>ROUND(conteo!B4,0)</f>
        <v>0</v>
      </c>
      <c r="C66" s="38" t="s">
        <v>11</v>
      </c>
      <c r="D66" s="64" t="s">
        <v>137</v>
      </c>
      <c r="E66" s="65">
        <v>120</v>
      </c>
      <c r="F66" s="40"/>
      <c r="G66" s="9"/>
    </row>
    <row r="67" spans="1:11" ht="12" customHeight="1">
      <c r="A67" s="36">
        <f t="shared" ref="A67:A69" si="5">A66+1</f>
        <v>55</v>
      </c>
      <c r="B67" s="37"/>
      <c r="C67" s="38" t="s">
        <v>11</v>
      </c>
      <c r="D67" s="64" t="s">
        <v>138</v>
      </c>
      <c r="E67" s="65"/>
      <c r="F67" s="40"/>
      <c r="G67" s="9"/>
    </row>
    <row r="68" spans="1:11" ht="12" customHeight="1">
      <c r="A68" s="36">
        <f t="shared" si="5"/>
        <v>56</v>
      </c>
      <c r="B68" s="37">
        <v>2</v>
      </c>
      <c r="C68" s="38" t="s">
        <v>13</v>
      </c>
      <c r="D68" s="64" t="s">
        <v>142</v>
      </c>
      <c r="E68" s="65">
        <v>65</v>
      </c>
      <c r="F68" s="40"/>
      <c r="G68" s="9"/>
    </row>
    <row r="69" spans="1:11" ht="12" customHeight="1">
      <c r="A69" s="36">
        <f t="shared" si="5"/>
        <v>57</v>
      </c>
      <c r="B69" s="37">
        <v>2</v>
      </c>
      <c r="C69" s="38" t="s">
        <v>11</v>
      </c>
      <c r="D69" s="64" t="s">
        <v>136</v>
      </c>
      <c r="E69" s="65">
        <v>80</v>
      </c>
      <c r="F69" s="40"/>
      <c r="G69" s="9"/>
    </row>
    <row r="70" spans="1:11" ht="12" customHeight="1" thickBot="1">
      <c r="A70" s="36">
        <f>A69+1</f>
        <v>58</v>
      </c>
      <c r="B70" s="37">
        <v>2</v>
      </c>
      <c r="C70" s="38" t="s">
        <v>11</v>
      </c>
      <c r="D70" s="64" t="s">
        <v>38</v>
      </c>
      <c r="E70" s="65">
        <v>10</v>
      </c>
      <c r="F70" s="40"/>
      <c r="G70" s="9"/>
    </row>
    <row r="71" spans="1:11" ht="10.5" customHeight="1" thickBot="1">
      <c r="A71" s="102" t="s">
        <v>32</v>
      </c>
      <c r="B71" s="103"/>
      <c r="C71" s="103"/>
      <c r="D71" s="103"/>
      <c r="E71" s="103"/>
      <c r="F71" s="104"/>
      <c r="G71" s="9"/>
    </row>
    <row r="72" spans="1:11" ht="12" customHeight="1">
      <c r="A72" s="36">
        <f>A70+1</f>
        <v>59</v>
      </c>
      <c r="B72" s="37">
        <f>conteo!E9</f>
        <v>18</v>
      </c>
      <c r="C72" s="38" t="s">
        <v>11</v>
      </c>
      <c r="D72" s="64" t="s">
        <v>44</v>
      </c>
      <c r="E72" s="41">
        <v>90</v>
      </c>
      <c r="F72" s="40"/>
      <c r="G72" s="9"/>
    </row>
    <row r="73" spans="1:11" ht="12" customHeight="1">
      <c r="A73" s="36">
        <f>A70+1</f>
        <v>59</v>
      </c>
      <c r="B73" s="37">
        <f>conteo!E9</f>
        <v>18</v>
      </c>
      <c r="C73" s="38" t="s">
        <v>11</v>
      </c>
      <c r="D73" s="64" t="s">
        <v>44</v>
      </c>
      <c r="E73" s="41">
        <v>78</v>
      </c>
      <c r="F73" s="40"/>
      <c r="G73" s="9"/>
    </row>
    <row r="74" spans="1:11" ht="14">
      <c r="A74" s="36">
        <f>A72+1</f>
        <v>60</v>
      </c>
      <c r="B74" s="37">
        <f>conteo!E11</f>
        <v>2</v>
      </c>
      <c r="C74" s="38" t="s">
        <v>11</v>
      </c>
      <c r="D74" s="39" t="s">
        <v>104</v>
      </c>
      <c r="E74" s="41">
        <v>87</v>
      </c>
      <c r="F74" s="40"/>
      <c r="G74" s="9"/>
      <c r="H74" s="66"/>
      <c r="I74" s="66"/>
      <c r="J74" s="66"/>
      <c r="K74" s="66"/>
    </row>
    <row r="75" spans="1:11" ht="14">
      <c r="A75" s="36">
        <f t="shared" ref="A75:A77" si="6">A74+1</f>
        <v>61</v>
      </c>
      <c r="B75" s="37">
        <f>conteo!E12</f>
        <v>7</v>
      </c>
      <c r="C75" s="38" t="s">
        <v>11</v>
      </c>
      <c r="D75" s="39" t="s">
        <v>103</v>
      </c>
      <c r="E75" s="41">
        <v>68.5</v>
      </c>
      <c r="F75" s="40"/>
      <c r="G75" s="9"/>
      <c r="H75" s="66"/>
      <c r="I75" s="66"/>
      <c r="J75" s="66"/>
      <c r="K75" s="66"/>
    </row>
    <row r="76" spans="1:11" ht="14">
      <c r="A76" s="36">
        <f t="shared" si="6"/>
        <v>62</v>
      </c>
      <c r="B76" s="37" t="e">
        <f>conteo!#REF!</f>
        <v>#REF!</v>
      </c>
      <c r="C76" s="38" t="s">
        <v>11</v>
      </c>
      <c r="D76" s="39" t="s">
        <v>102</v>
      </c>
      <c r="E76" s="41">
        <v>56.5</v>
      </c>
      <c r="F76" s="40"/>
      <c r="G76" s="9"/>
      <c r="H76" s="66"/>
      <c r="I76" s="66"/>
      <c r="J76" s="66"/>
      <c r="K76" s="66"/>
    </row>
    <row r="77" spans="1:11" ht="14">
      <c r="A77" s="36">
        <f t="shared" si="6"/>
        <v>63</v>
      </c>
      <c r="B77" s="37">
        <f>conteo!E13</f>
        <v>11</v>
      </c>
      <c r="C77" s="38" t="s">
        <v>11</v>
      </c>
      <c r="D77" s="39" t="s">
        <v>35</v>
      </c>
      <c r="E77" s="41">
        <v>34</v>
      </c>
      <c r="F77" s="121"/>
      <c r="G77" s="9"/>
      <c r="H77" s="66"/>
      <c r="I77" s="66"/>
      <c r="J77" s="66"/>
      <c r="K77" s="66"/>
    </row>
    <row r="78" spans="1:11" ht="14">
      <c r="A78" s="36">
        <f t="shared" ref="A78" si="7">A77+1</f>
        <v>64</v>
      </c>
      <c r="B78" s="37">
        <f>conteo!E14</f>
        <v>2</v>
      </c>
      <c r="C78" s="38" t="s">
        <v>11</v>
      </c>
      <c r="D78" s="39" t="s">
        <v>115</v>
      </c>
      <c r="E78" s="41">
        <v>33</v>
      </c>
      <c r="F78" s="40"/>
      <c r="G78" s="9"/>
      <c r="H78" s="66"/>
      <c r="I78" s="66"/>
      <c r="J78" s="66"/>
      <c r="K78" s="66"/>
    </row>
    <row r="79" spans="1:11" ht="14">
      <c r="A79" s="36">
        <f t="shared" ref="A79" si="8">A77+1</f>
        <v>64</v>
      </c>
      <c r="B79" s="37">
        <f>conteo!E14</f>
        <v>2</v>
      </c>
      <c r="C79" s="38" t="s">
        <v>11</v>
      </c>
      <c r="D79" s="64" t="s">
        <v>45</v>
      </c>
      <c r="E79" s="41">
        <f>22.5*20</f>
        <v>450</v>
      </c>
      <c r="F79" s="40"/>
      <c r="G79" s="9"/>
      <c r="H79" s="66"/>
      <c r="I79" s="66"/>
      <c r="J79" s="66"/>
      <c r="K79" s="66"/>
    </row>
    <row r="80" spans="1:11" ht="14">
      <c r="A80" s="36">
        <f>A79+1</f>
        <v>65</v>
      </c>
      <c r="B80" s="37">
        <f>conteo!E15</f>
        <v>4</v>
      </c>
      <c r="C80" s="38" t="s">
        <v>11</v>
      </c>
      <c r="D80" s="64" t="s">
        <v>42</v>
      </c>
      <c r="E80" s="41">
        <v>50</v>
      </c>
      <c r="F80" s="40"/>
      <c r="G80" s="9"/>
    </row>
    <row r="81" spans="1:7" ht="14">
      <c r="A81" s="36">
        <f>A80+1</f>
        <v>66</v>
      </c>
      <c r="B81" s="37" t="e">
        <f>conteo!#REF!</f>
        <v>#REF!</v>
      </c>
      <c r="C81" s="38" t="s">
        <v>11</v>
      </c>
      <c r="D81" s="64" t="s">
        <v>53</v>
      </c>
      <c r="E81" s="41">
        <v>50</v>
      </c>
      <c r="F81" s="40"/>
      <c r="G81" s="9"/>
    </row>
    <row r="82" spans="1:7" ht="15" thickBot="1">
      <c r="A82" s="36">
        <f>A80+1</f>
        <v>66</v>
      </c>
      <c r="B82" s="37" t="e">
        <f>(B72*15)+(B80*15)+(B81*15)</f>
        <v>#REF!</v>
      </c>
      <c r="C82" s="38" t="s">
        <v>11</v>
      </c>
      <c r="D82" s="64" t="s">
        <v>40</v>
      </c>
      <c r="E82" s="41">
        <v>1.6</v>
      </c>
      <c r="F82" s="40"/>
      <c r="G82" s="9"/>
    </row>
    <row r="83" spans="1:7" ht="14" thickBot="1">
      <c r="A83" s="102" t="s">
        <v>33</v>
      </c>
      <c r="B83" s="103"/>
      <c r="C83" s="103"/>
      <c r="D83" s="103"/>
      <c r="E83" s="103"/>
      <c r="F83" s="104"/>
      <c r="G83" s="9"/>
    </row>
    <row r="84" spans="1:7" ht="14">
      <c r="A84" s="36">
        <f>A82+1</f>
        <v>67</v>
      </c>
      <c r="B84" s="37">
        <v>0</v>
      </c>
      <c r="C84" s="38" t="s">
        <v>11</v>
      </c>
      <c r="D84" s="39" t="s">
        <v>46</v>
      </c>
      <c r="E84" s="41">
        <v>45</v>
      </c>
      <c r="F84" s="40"/>
      <c r="G84" s="9"/>
    </row>
    <row r="85" spans="1:7" ht="12.75" customHeight="1">
      <c r="A85" s="36">
        <f>A84+1</f>
        <v>68</v>
      </c>
      <c r="B85" s="37">
        <v>0</v>
      </c>
      <c r="C85" s="38" t="s">
        <v>13</v>
      </c>
      <c r="D85" s="39" t="s">
        <v>73</v>
      </c>
      <c r="E85" s="41">
        <v>18</v>
      </c>
      <c r="F85" s="40"/>
      <c r="G85" s="9"/>
    </row>
    <row r="86" spans="1:7" ht="12.75" customHeight="1">
      <c r="A86" s="36">
        <f t="shared" ref="A86:A90" si="9">A85+1</f>
        <v>69</v>
      </c>
      <c r="B86" s="37">
        <v>8</v>
      </c>
      <c r="C86" s="38" t="s">
        <v>11</v>
      </c>
      <c r="D86" s="39" t="s">
        <v>77</v>
      </c>
      <c r="E86" s="41">
        <v>35</v>
      </c>
      <c r="F86" s="40"/>
      <c r="G86" s="9"/>
    </row>
    <row r="87" spans="1:7" ht="14">
      <c r="A87" s="36">
        <f t="shared" si="9"/>
        <v>70</v>
      </c>
      <c r="B87" s="37">
        <f>B86*12</f>
        <v>96</v>
      </c>
      <c r="C87" s="38" t="s">
        <v>13</v>
      </c>
      <c r="D87" s="39" t="s">
        <v>78</v>
      </c>
      <c r="E87" s="41">
        <v>3</v>
      </c>
      <c r="F87" s="40"/>
      <c r="G87" s="9"/>
    </row>
    <row r="88" spans="1:7" ht="12.75" customHeight="1">
      <c r="A88" s="36">
        <f t="shared" si="9"/>
        <v>71</v>
      </c>
      <c r="B88" s="37">
        <v>1</v>
      </c>
      <c r="C88" s="38" t="s">
        <v>11</v>
      </c>
      <c r="D88" s="39" t="s">
        <v>79</v>
      </c>
      <c r="E88" s="41">
        <v>25</v>
      </c>
      <c r="F88" s="40"/>
      <c r="G88" s="9"/>
    </row>
    <row r="89" spans="1:7" ht="12.75" customHeight="1">
      <c r="A89" s="36">
        <f t="shared" si="9"/>
        <v>72</v>
      </c>
      <c r="B89" s="37">
        <f>ROUND((B86*2),0)</f>
        <v>16</v>
      </c>
      <c r="C89" s="38" t="s">
        <v>11</v>
      </c>
      <c r="D89" s="39" t="s">
        <v>80</v>
      </c>
      <c r="E89" s="41">
        <v>8</v>
      </c>
      <c r="F89" s="40"/>
      <c r="G89" s="9"/>
    </row>
    <row r="90" spans="1:7" ht="14">
      <c r="A90" s="36">
        <f t="shared" si="9"/>
        <v>73</v>
      </c>
      <c r="B90" s="37" cm="1">
        <f t="array" ref="B90">ROUND((Tabla2[Medidas m2]/50)+0.5,0)</f>
        <v>1</v>
      </c>
      <c r="C90" s="38" t="s">
        <v>11</v>
      </c>
      <c r="D90" s="39" t="s">
        <v>43</v>
      </c>
      <c r="E90" s="41">
        <v>100</v>
      </c>
      <c r="F90" s="80"/>
      <c r="G90" s="9"/>
    </row>
    <row r="91" spans="1:7">
      <c r="A91" s="76"/>
      <c r="B91" s="76"/>
      <c r="C91" s="76"/>
      <c r="D91" s="76"/>
      <c r="E91" s="77"/>
      <c r="F91" s="76"/>
    </row>
    <row r="92" spans="1:7">
      <c r="A92" s="67"/>
      <c r="B92" s="67"/>
      <c r="C92" s="67"/>
      <c r="D92" s="67"/>
      <c r="E92" s="67"/>
      <c r="F92" s="67"/>
    </row>
    <row r="93" spans="1:7">
      <c r="A93" s="67"/>
      <c r="B93" s="67"/>
      <c r="C93" s="67"/>
      <c r="D93" s="67"/>
      <c r="E93" s="67"/>
      <c r="F93" s="67"/>
    </row>
  </sheetData>
  <mergeCells count="5">
    <mergeCell ref="A63:F63"/>
    <mergeCell ref="A71:F71"/>
    <mergeCell ref="A83:F83"/>
    <mergeCell ref="A1:F1"/>
    <mergeCell ref="A2:F2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PERGOLA</vt:lpstr>
      <vt:lpstr>conteo</vt:lpstr>
      <vt:lpstr>Materiales</vt:lpstr>
      <vt:lpstr>Materiales!Área_de_impresión</vt:lpstr>
      <vt:lpstr>PERGOLA!Área_de_impresión</vt:lpstr>
    </vt:vector>
  </TitlesOfParts>
  <Manager>Wilson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Cotizacion 000 Pergola Señor</dc:title>
  <dc:subject>Cotizacion</dc:subject>
  <dc:creator>Usuario</dc:creator>
  <cp:keywords>Metalink</cp:keywords>
  <cp:lastModifiedBy>Raul Oquendo Saigua</cp:lastModifiedBy>
  <cp:lastPrinted>2022-08-07T19:20:03Z</cp:lastPrinted>
  <dcterms:created xsi:type="dcterms:W3CDTF">2005-11-05T23:15:20Z</dcterms:created>
  <dcterms:modified xsi:type="dcterms:W3CDTF">2026-10-13T19:01:01Z</dcterms:modified>
</cp:coreProperties>
</file>